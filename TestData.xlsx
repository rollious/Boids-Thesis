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han\Desktop\Boids_Thesis\"/>
    </mc:Choice>
  </mc:AlternateContent>
  <xr:revisionPtr revIDLastSave="0" documentId="13_ncr:1_{06438E8A-8DBE-4A1E-B31D-E6596027E4DA}" xr6:coauthVersionLast="47" xr6:coauthVersionMax="47" xr10:uidLastSave="{00000000-0000-0000-0000-000000000000}"/>
  <bookViews>
    <workbookView xWindow="34425" yWindow="0" windowWidth="17280" windowHeight="21705" xr2:uid="{00000000-000D-0000-FFFF-FFFF00000000}"/>
  </bookViews>
  <sheets>
    <sheet name="Taul1" sheetId="1" r:id="rId1"/>
  </sheets>
  <definedNames>
    <definedName name="AA">Taul1!$LE:$LE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5" i="1" l="1"/>
  <c r="O166" i="1"/>
  <c r="O167" i="1"/>
  <c r="O168" i="1"/>
  <c r="O169" i="1"/>
  <c r="O170" i="1"/>
  <c r="P170" i="1" s="1"/>
  <c r="O171" i="1"/>
  <c r="P171" i="1" s="1"/>
  <c r="O172" i="1"/>
  <c r="P172" i="1" s="1"/>
  <c r="O173" i="1"/>
  <c r="O164" i="1"/>
  <c r="K165" i="1"/>
  <c r="K166" i="1"/>
  <c r="K167" i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64" i="1"/>
  <c r="L164" i="1" s="1"/>
  <c r="G165" i="1"/>
  <c r="H165" i="1" s="1"/>
  <c r="G166" i="1"/>
  <c r="H166" i="1" s="1"/>
  <c r="G167" i="1"/>
  <c r="H167" i="1" s="1"/>
  <c r="G168" i="1"/>
  <c r="H168" i="1" s="1"/>
  <c r="G169" i="1"/>
  <c r="G170" i="1"/>
  <c r="G171" i="1"/>
  <c r="H171" i="1" s="1"/>
  <c r="G172" i="1"/>
  <c r="H172" i="1" s="1"/>
  <c r="G173" i="1"/>
  <c r="G164" i="1"/>
  <c r="H164" i="1" s="1"/>
  <c r="O151" i="1"/>
  <c r="P151" i="1" s="1"/>
  <c r="O152" i="1"/>
  <c r="P152" i="1" s="1"/>
  <c r="O153" i="1"/>
  <c r="O154" i="1"/>
  <c r="O155" i="1"/>
  <c r="P155" i="1" s="1"/>
  <c r="O156" i="1"/>
  <c r="P156" i="1" s="1"/>
  <c r="O157" i="1"/>
  <c r="P157" i="1" s="1"/>
  <c r="O158" i="1"/>
  <c r="O159" i="1"/>
  <c r="P159" i="1" s="1"/>
  <c r="O150" i="1"/>
  <c r="K151" i="1"/>
  <c r="L151" i="1" s="1"/>
  <c r="K152" i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K150" i="1"/>
  <c r="G150" i="1"/>
  <c r="G151" i="1"/>
  <c r="G152" i="1"/>
  <c r="G153" i="1"/>
  <c r="G154" i="1"/>
  <c r="H154" i="1" s="1"/>
  <c r="G155" i="1"/>
  <c r="G156" i="1"/>
  <c r="H156" i="1" s="1"/>
  <c r="G157" i="1"/>
  <c r="G158" i="1"/>
  <c r="G159" i="1"/>
  <c r="G145" i="1"/>
  <c r="C152" i="1"/>
  <c r="D152" i="1" s="1"/>
  <c r="D123" i="1"/>
  <c r="C156" i="1"/>
  <c r="D156" i="1" s="1"/>
  <c r="P165" i="1"/>
  <c r="P166" i="1"/>
  <c r="P167" i="1"/>
  <c r="P169" i="1"/>
  <c r="P173" i="1"/>
  <c r="L165" i="1"/>
  <c r="L166" i="1"/>
  <c r="L167" i="1"/>
  <c r="H169" i="1"/>
  <c r="H173" i="1"/>
  <c r="P153" i="1"/>
  <c r="P154" i="1"/>
  <c r="P158" i="1"/>
  <c r="L159" i="1"/>
  <c r="H151" i="1"/>
  <c r="H152" i="1"/>
  <c r="H153" i="1"/>
  <c r="H155" i="1"/>
  <c r="H157" i="1"/>
  <c r="H158" i="1"/>
  <c r="H159" i="1"/>
  <c r="P164" i="1"/>
  <c r="P150" i="1"/>
  <c r="L150" i="1"/>
  <c r="H170" i="1"/>
  <c r="P168" i="1"/>
  <c r="N164" i="1"/>
  <c r="N165" i="1" s="1"/>
  <c r="N166" i="1" s="1"/>
  <c r="N167" i="1" s="1"/>
  <c r="N168" i="1" s="1"/>
  <c r="N169" i="1" s="1"/>
  <c r="N170" i="1" s="1"/>
  <c r="N171" i="1" s="1"/>
  <c r="N172" i="1" s="1"/>
  <c r="N173" i="1" s="1"/>
  <c r="J164" i="1"/>
  <c r="J165" i="1" s="1"/>
  <c r="J166" i="1" s="1"/>
  <c r="J167" i="1" s="1"/>
  <c r="J168" i="1" s="1"/>
  <c r="J169" i="1" s="1"/>
  <c r="J170" i="1" s="1"/>
  <c r="J171" i="1" s="1"/>
  <c r="J172" i="1" s="1"/>
  <c r="J173" i="1" s="1"/>
  <c r="F164" i="1"/>
  <c r="F165" i="1" s="1"/>
  <c r="F166" i="1" s="1"/>
  <c r="F167" i="1" s="1"/>
  <c r="F168" i="1" s="1"/>
  <c r="F169" i="1" s="1"/>
  <c r="F170" i="1" s="1"/>
  <c r="F171" i="1" s="1"/>
  <c r="F172" i="1" s="1"/>
  <c r="F173" i="1" s="1"/>
  <c r="N150" i="1"/>
  <c r="N151" i="1" s="1"/>
  <c r="N152" i="1" s="1"/>
  <c r="N153" i="1" s="1"/>
  <c r="N154" i="1" s="1"/>
  <c r="N155" i="1" s="1"/>
  <c r="N156" i="1" s="1"/>
  <c r="N157" i="1" s="1"/>
  <c r="N158" i="1" s="1"/>
  <c r="N159" i="1" s="1"/>
  <c r="J150" i="1"/>
  <c r="J151" i="1" s="1"/>
  <c r="J152" i="1" s="1"/>
  <c r="J153" i="1" s="1"/>
  <c r="J154" i="1" s="1"/>
  <c r="J155" i="1" s="1"/>
  <c r="J156" i="1" s="1"/>
  <c r="J157" i="1" s="1"/>
  <c r="J158" i="1" s="1"/>
  <c r="J159" i="1" s="1"/>
  <c r="F150" i="1"/>
  <c r="F151" i="1" s="1"/>
  <c r="F152" i="1" s="1"/>
  <c r="F153" i="1" s="1"/>
  <c r="F154" i="1" s="1"/>
  <c r="F155" i="1" s="1"/>
  <c r="F156" i="1" s="1"/>
  <c r="F157" i="1" s="1"/>
  <c r="F158" i="1" s="1"/>
  <c r="F159" i="1" s="1"/>
  <c r="O145" i="1"/>
  <c r="K145" i="1"/>
  <c r="P144" i="1"/>
  <c r="L144" i="1"/>
  <c r="H144" i="1"/>
  <c r="P143" i="1"/>
  <c r="L143" i="1"/>
  <c r="H143" i="1"/>
  <c r="P142" i="1"/>
  <c r="L142" i="1"/>
  <c r="H142" i="1"/>
  <c r="P141" i="1"/>
  <c r="L141" i="1"/>
  <c r="H141" i="1"/>
  <c r="P140" i="1"/>
  <c r="L140" i="1"/>
  <c r="H140" i="1"/>
  <c r="P139" i="1"/>
  <c r="L139" i="1"/>
  <c r="H139" i="1"/>
  <c r="P138" i="1"/>
  <c r="L138" i="1"/>
  <c r="H138" i="1"/>
  <c r="P137" i="1"/>
  <c r="L137" i="1"/>
  <c r="H137" i="1"/>
  <c r="P136" i="1"/>
  <c r="L136" i="1"/>
  <c r="H136" i="1"/>
  <c r="P135" i="1"/>
  <c r="N135" i="1"/>
  <c r="N136" i="1" s="1"/>
  <c r="N137" i="1" s="1"/>
  <c r="N138" i="1" s="1"/>
  <c r="N139" i="1" s="1"/>
  <c r="N140" i="1" s="1"/>
  <c r="N141" i="1" s="1"/>
  <c r="N142" i="1" s="1"/>
  <c r="N143" i="1" s="1"/>
  <c r="N144" i="1" s="1"/>
  <c r="L135" i="1"/>
  <c r="J135" i="1"/>
  <c r="J136" i="1" s="1"/>
  <c r="J137" i="1" s="1"/>
  <c r="J138" i="1" s="1"/>
  <c r="J139" i="1" s="1"/>
  <c r="J140" i="1" s="1"/>
  <c r="J141" i="1" s="1"/>
  <c r="J142" i="1" s="1"/>
  <c r="J143" i="1" s="1"/>
  <c r="J144" i="1" s="1"/>
  <c r="H135" i="1"/>
  <c r="F135" i="1"/>
  <c r="F136" i="1" s="1"/>
  <c r="F137" i="1" s="1"/>
  <c r="F138" i="1" s="1"/>
  <c r="F139" i="1" s="1"/>
  <c r="F140" i="1" s="1"/>
  <c r="F141" i="1" s="1"/>
  <c r="F142" i="1" s="1"/>
  <c r="F143" i="1" s="1"/>
  <c r="F144" i="1" s="1"/>
  <c r="D127" i="1"/>
  <c r="O131" i="1"/>
  <c r="K131" i="1"/>
  <c r="G131" i="1"/>
  <c r="P130" i="1"/>
  <c r="L130" i="1"/>
  <c r="H130" i="1"/>
  <c r="P129" i="1"/>
  <c r="L129" i="1"/>
  <c r="H129" i="1"/>
  <c r="P128" i="1"/>
  <c r="L128" i="1"/>
  <c r="H128" i="1"/>
  <c r="P127" i="1"/>
  <c r="L127" i="1"/>
  <c r="H127" i="1"/>
  <c r="P126" i="1"/>
  <c r="L126" i="1"/>
  <c r="H126" i="1"/>
  <c r="P125" i="1"/>
  <c r="L125" i="1"/>
  <c r="H125" i="1"/>
  <c r="P124" i="1"/>
  <c r="L124" i="1"/>
  <c r="H124" i="1"/>
  <c r="P123" i="1"/>
  <c r="L123" i="1"/>
  <c r="H123" i="1"/>
  <c r="P122" i="1"/>
  <c r="L122" i="1"/>
  <c r="H122" i="1"/>
  <c r="P121" i="1"/>
  <c r="N121" i="1"/>
  <c r="N122" i="1" s="1"/>
  <c r="N123" i="1" s="1"/>
  <c r="N124" i="1" s="1"/>
  <c r="N125" i="1" s="1"/>
  <c r="N126" i="1" s="1"/>
  <c r="N127" i="1" s="1"/>
  <c r="N128" i="1" s="1"/>
  <c r="N129" i="1" s="1"/>
  <c r="N130" i="1" s="1"/>
  <c r="L121" i="1"/>
  <c r="J121" i="1"/>
  <c r="J122" i="1" s="1"/>
  <c r="J123" i="1" s="1"/>
  <c r="J124" i="1" s="1"/>
  <c r="J125" i="1" s="1"/>
  <c r="J126" i="1" s="1"/>
  <c r="J127" i="1" s="1"/>
  <c r="J128" i="1" s="1"/>
  <c r="J129" i="1" s="1"/>
  <c r="J130" i="1" s="1"/>
  <c r="H121" i="1"/>
  <c r="F121" i="1"/>
  <c r="F122" i="1" s="1"/>
  <c r="F123" i="1" s="1"/>
  <c r="F124" i="1" s="1"/>
  <c r="F125" i="1" s="1"/>
  <c r="F126" i="1" s="1"/>
  <c r="F127" i="1" s="1"/>
  <c r="F128" i="1" s="1"/>
  <c r="F129" i="1" s="1"/>
  <c r="F130" i="1" s="1"/>
  <c r="O116" i="1"/>
  <c r="K116" i="1"/>
  <c r="G116" i="1"/>
  <c r="P115" i="1"/>
  <c r="L115" i="1"/>
  <c r="H115" i="1"/>
  <c r="P114" i="1"/>
  <c r="L114" i="1"/>
  <c r="H114" i="1"/>
  <c r="P113" i="1"/>
  <c r="L113" i="1"/>
  <c r="H113" i="1"/>
  <c r="P112" i="1"/>
  <c r="L112" i="1"/>
  <c r="H112" i="1"/>
  <c r="P111" i="1"/>
  <c r="L111" i="1"/>
  <c r="H111" i="1"/>
  <c r="P110" i="1"/>
  <c r="L110" i="1"/>
  <c r="H110" i="1"/>
  <c r="P109" i="1"/>
  <c r="L109" i="1"/>
  <c r="H109" i="1"/>
  <c r="P108" i="1"/>
  <c r="L108" i="1"/>
  <c r="H108" i="1"/>
  <c r="P107" i="1"/>
  <c r="L107" i="1"/>
  <c r="H107" i="1"/>
  <c r="P106" i="1"/>
  <c r="N106" i="1"/>
  <c r="N107" i="1" s="1"/>
  <c r="N108" i="1" s="1"/>
  <c r="N109" i="1" s="1"/>
  <c r="N110" i="1" s="1"/>
  <c r="N111" i="1" s="1"/>
  <c r="N112" i="1" s="1"/>
  <c r="N113" i="1" s="1"/>
  <c r="N114" i="1" s="1"/>
  <c r="N115" i="1" s="1"/>
  <c r="L106" i="1"/>
  <c r="J106" i="1"/>
  <c r="J107" i="1" s="1"/>
  <c r="J108" i="1" s="1"/>
  <c r="J109" i="1" s="1"/>
  <c r="J110" i="1" s="1"/>
  <c r="J111" i="1" s="1"/>
  <c r="J112" i="1" s="1"/>
  <c r="J113" i="1" s="1"/>
  <c r="J114" i="1" s="1"/>
  <c r="J115" i="1" s="1"/>
  <c r="H106" i="1"/>
  <c r="F106" i="1"/>
  <c r="F107" i="1" s="1"/>
  <c r="F108" i="1" s="1"/>
  <c r="F109" i="1" s="1"/>
  <c r="F110" i="1" s="1"/>
  <c r="F111" i="1" s="1"/>
  <c r="F112" i="1" s="1"/>
  <c r="F113" i="1" s="1"/>
  <c r="F114" i="1" s="1"/>
  <c r="F115" i="1" s="1"/>
  <c r="D98" i="1"/>
  <c r="O102" i="1"/>
  <c r="K102" i="1"/>
  <c r="G102" i="1"/>
  <c r="P101" i="1"/>
  <c r="L101" i="1"/>
  <c r="H101" i="1"/>
  <c r="P100" i="1"/>
  <c r="L100" i="1"/>
  <c r="H100" i="1"/>
  <c r="P99" i="1"/>
  <c r="L99" i="1"/>
  <c r="H99" i="1"/>
  <c r="P98" i="1"/>
  <c r="L98" i="1"/>
  <c r="H98" i="1"/>
  <c r="P97" i="1"/>
  <c r="L97" i="1"/>
  <c r="H97" i="1"/>
  <c r="P96" i="1"/>
  <c r="L96" i="1"/>
  <c r="H96" i="1"/>
  <c r="P95" i="1"/>
  <c r="L95" i="1"/>
  <c r="H95" i="1"/>
  <c r="P94" i="1"/>
  <c r="L94" i="1"/>
  <c r="H94" i="1"/>
  <c r="D94" i="1"/>
  <c r="P93" i="1"/>
  <c r="L93" i="1"/>
  <c r="H93" i="1"/>
  <c r="P92" i="1"/>
  <c r="N92" i="1"/>
  <c r="N93" i="1" s="1"/>
  <c r="N94" i="1" s="1"/>
  <c r="N95" i="1" s="1"/>
  <c r="N96" i="1" s="1"/>
  <c r="N97" i="1" s="1"/>
  <c r="N98" i="1" s="1"/>
  <c r="N99" i="1" s="1"/>
  <c r="N100" i="1" s="1"/>
  <c r="N101" i="1" s="1"/>
  <c r="L92" i="1"/>
  <c r="J92" i="1"/>
  <c r="J93" i="1" s="1"/>
  <c r="J94" i="1" s="1"/>
  <c r="J95" i="1" s="1"/>
  <c r="J96" i="1" s="1"/>
  <c r="J97" i="1" s="1"/>
  <c r="J98" i="1" s="1"/>
  <c r="J99" i="1" s="1"/>
  <c r="J100" i="1" s="1"/>
  <c r="J101" i="1" s="1"/>
  <c r="H92" i="1"/>
  <c r="F92" i="1"/>
  <c r="F93" i="1" s="1"/>
  <c r="F94" i="1" s="1"/>
  <c r="F95" i="1" s="1"/>
  <c r="F96" i="1" s="1"/>
  <c r="F97" i="1" s="1"/>
  <c r="F98" i="1" s="1"/>
  <c r="F99" i="1" s="1"/>
  <c r="F100" i="1" s="1"/>
  <c r="F101" i="1" s="1"/>
  <c r="O87" i="1"/>
  <c r="K87" i="1"/>
  <c r="G87" i="1"/>
  <c r="P86" i="1"/>
  <c r="L86" i="1"/>
  <c r="H86" i="1"/>
  <c r="P85" i="1"/>
  <c r="L85" i="1"/>
  <c r="H85" i="1"/>
  <c r="P84" i="1"/>
  <c r="L84" i="1"/>
  <c r="H84" i="1"/>
  <c r="P83" i="1"/>
  <c r="L83" i="1"/>
  <c r="H83" i="1"/>
  <c r="P82" i="1"/>
  <c r="L82" i="1"/>
  <c r="H82" i="1"/>
  <c r="P81" i="1"/>
  <c r="L81" i="1"/>
  <c r="H81" i="1"/>
  <c r="P80" i="1"/>
  <c r="L80" i="1"/>
  <c r="H80" i="1"/>
  <c r="P79" i="1"/>
  <c r="L79" i="1"/>
  <c r="H79" i="1"/>
  <c r="P78" i="1"/>
  <c r="L78" i="1"/>
  <c r="H78" i="1"/>
  <c r="P77" i="1"/>
  <c r="N77" i="1"/>
  <c r="N78" i="1" s="1"/>
  <c r="N79" i="1" s="1"/>
  <c r="N80" i="1" s="1"/>
  <c r="N81" i="1" s="1"/>
  <c r="N82" i="1" s="1"/>
  <c r="N83" i="1" s="1"/>
  <c r="N84" i="1" s="1"/>
  <c r="N85" i="1" s="1"/>
  <c r="N86" i="1" s="1"/>
  <c r="L77" i="1"/>
  <c r="J77" i="1"/>
  <c r="J78" i="1" s="1"/>
  <c r="J79" i="1" s="1"/>
  <c r="J80" i="1" s="1"/>
  <c r="J81" i="1" s="1"/>
  <c r="J82" i="1" s="1"/>
  <c r="J83" i="1" s="1"/>
  <c r="J84" i="1" s="1"/>
  <c r="J85" i="1" s="1"/>
  <c r="J86" i="1" s="1"/>
  <c r="H77" i="1"/>
  <c r="F77" i="1"/>
  <c r="F78" i="1" s="1"/>
  <c r="F79" i="1" s="1"/>
  <c r="F80" i="1" s="1"/>
  <c r="F81" i="1" s="1"/>
  <c r="F82" i="1" s="1"/>
  <c r="F83" i="1" s="1"/>
  <c r="F84" i="1" s="1"/>
  <c r="F85" i="1" s="1"/>
  <c r="F86" i="1" s="1"/>
  <c r="D69" i="1"/>
  <c r="O73" i="1"/>
  <c r="K73" i="1"/>
  <c r="G73" i="1"/>
  <c r="P72" i="1"/>
  <c r="L72" i="1"/>
  <c r="H72" i="1"/>
  <c r="P71" i="1"/>
  <c r="L71" i="1"/>
  <c r="H71" i="1"/>
  <c r="P70" i="1"/>
  <c r="L70" i="1"/>
  <c r="H70" i="1"/>
  <c r="P69" i="1"/>
  <c r="L69" i="1"/>
  <c r="H69" i="1"/>
  <c r="P68" i="1"/>
  <c r="L68" i="1"/>
  <c r="H68" i="1"/>
  <c r="P67" i="1"/>
  <c r="L67" i="1"/>
  <c r="H67" i="1"/>
  <c r="P66" i="1"/>
  <c r="L66" i="1"/>
  <c r="H66" i="1"/>
  <c r="P65" i="1"/>
  <c r="L65" i="1"/>
  <c r="H65" i="1"/>
  <c r="D65" i="1"/>
  <c r="P64" i="1"/>
  <c r="L64" i="1"/>
  <c r="H64" i="1"/>
  <c r="P63" i="1"/>
  <c r="N63" i="1"/>
  <c r="N64" i="1" s="1"/>
  <c r="N65" i="1" s="1"/>
  <c r="N66" i="1" s="1"/>
  <c r="N67" i="1" s="1"/>
  <c r="N68" i="1" s="1"/>
  <c r="N69" i="1" s="1"/>
  <c r="N70" i="1" s="1"/>
  <c r="N71" i="1" s="1"/>
  <c r="N72" i="1" s="1"/>
  <c r="L63" i="1"/>
  <c r="J63" i="1"/>
  <c r="J64" i="1" s="1"/>
  <c r="J65" i="1" s="1"/>
  <c r="J66" i="1" s="1"/>
  <c r="J67" i="1" s="1"/>
  <c r="J68" i="1" s="1"/>
  <c r="J69" i="1" s="1"/>
  <c r="J70" i="1" s="1"/>
  <c r="J71" i="1" s="1"/>
  <c r="J72" i="1" s="1"/>
  <c r="H63" i="1"/>
  <c r="F63" i="1"/>
  <c r="F64" i="1" s="1"/>
  <c r="F65" i="1" s="1"/>
  <c r="F66" i="1" s="1"/>
  <c r="F67" i="1" s="1"/>
  <c r="F68" i="1" s="1"/>
  <c r="F69" i="1" s="1"/>
  <c r="F70" i="1" s="1"/>
  <c r="F71" i="1" s="1"/>
  <c r="F72" i="1" s="1"/>
  <c r="O58" i="1"/>
  <c r="K58" i="1"/>
  <c r="G58" i="1"/>
  <c r="P57" i="1"/>
  <c r="L57" i="1"/>
  <c r="H57" i="1"/>
  <c r="P56" i="1"/>
  <c r="L56" i="1"/>
  <c r="H56" i="1"/>
  <c r="P55" i="1"/>
  <c r="L55" i="1"/>
  <c r="H55" i="1"/>
  <c r="P54" i="1"/>
  <c r="L54" i="1"/>
  <c r="H54" i="1"/>
  <c r="P53" i="1"/>
  <c r="L53" i="1"/>
  <c r="H53" i="1"/>
  <c r="P52" i="1"/>
  <c r="L52" i="1"/>
  <c r="H52" i="1"/>
  <c r="P51" i="1"/>
  <c r="L51" i="1"/>
  <c r="H51" i="1"/>
  <c r="P50" i="1"/>
  <c r="L50" i="1"/>
  <c r="H50" i="1"/>
  <c r="P49" i="1"/>
  <c r="L49" i="1"/>
  <c r="H49" i="1"/>
  <c r="P48" i="1"/>
  <c r="N48" i="1"/>
  <c r="N49" i="1" s="1"/>
  <c r="N50" i="1" s="1"/>
  <c r="N51" i="1" s="1"/>
  <c r="N52" i="1" s="1"/>
  <c r="N53" i="1" s="1"/>
  <c r="N54" i="1" s="1"/>
  <c r="N55" i="1" s="1"/>
  <c r="N56" i="1" s="1"/>
  <c r="N57" i="1" s="1"/>
  <c r="L48" i="1"/>
  <c r="J48" i="1"/>
  <c r="J49" i="1" s="1"/>
  <c r="J50" i="1" s="1"/>
  <c r="J51" i="1" s="1"/>
  <c r="J52" i="1" s="1"/>
  <c r="J53" i="1" s="1"/>
  <c r="J54" i="1" s="1"/>
  <c r="J55" i="1" s="1"/>
  <c r="J56" i="1" s="1"/>
  <c r="J57" i="1" s="1"/>
  <c r="H48" i="1"/>
  <c r="F48" i="1"/>
  <c r="F49" i="1" s="1"/>
  <c r="F50" i="1" s="1"/>
  <c r="F51" i="1" s="1"/>
  <c r="F52" i="1" s="1"/>
  <c r="F53" i="1" s="1"/>
  <c r="F54" i="1" s="1"/>
  <c r="F55" i="1" s="1"/>
  <c r="F56" i="1" s="1"/>
  <c r="F57" i="1" s="1"/>
  <c r="D40" i="1"/>
  <c r="O44" i="1"/>
  <c r="K44" i="1"/>
  <c r="G44" i="1"/>
  <c r="P43" i="1"/>
  <c r="L43" i="1"/>
  <c r="H43" i="1"/>
  <c r="P42" i="1"/>
  <c r="L42" i="1"/>
  <c r="H42" i="1"/>
  <c r="P41" i="1"/>
  <c r="L41" i="1"/>
  <c r="H41" i="1"/>
  <c r="P40" i="1"/>
  <c r="L40" i="1"/>
  <c r="H40" i="1"/>
  <c r="P39" i="1"/>
  <c r="L39" i="1"/>
  <c r="H39" i="1"/>
  <c r="P38" i="1"/>
  <c r="L38" i="1"/>
  <c r="H38" i="1"/>
  <c r="P37" i="1"/>
  <c r="L37" i="1"/>
  <c r="H37" i="1"/>
  <c r="P36" i="1"/>
  <c r="L36" i="1"/>
  <c r="H36" i="1"/>
  <c r="D36" i="1"/>
  <c r="P35" i="1"/>
  <c r="L35" i="1"/>
  <c r="H35" i="1"/>
  <c r="P34" i="1"/>
  <c r="N34" i="1"/>
  <c r="N35" i="1" s="1"/>
  <c r="N36" i="1" s="1"/>
  <c r="N37" i="1" s="1"/>
  <c r="N38" i="1" s="1"/>
  <c r="N39" i="1" s="1"/>
  <c r="N40" i="1" s="1"/>
  <c r="N41" i="1" s="1"/>
  <c r="N42" i="1" s="1"/>
  <c r="N43" i="1" s="1"/>
  <c r="L34" i="1"/>
  <c r="J34" i="1"/>
  <c r="J35" i="1" s="1"/>
  <c r="J36" i="1" s="1"/>
  <c r="J37" i="1" s="1"/>
  <c r="J38" i="1" s="1"/>
  <c r="J39" i="1" s="1"/>
  <c r="J40" i="1" s="1"/>
  <c r="J41" i="1" s="1"/>
  <c r="J42" i="1" s="1"/>
  <c r="J43" i="1" s="1"/>
  <c r="H34" i="1"/>
  <c r="F34" i="1"/>
  <c r="F35" i="1" s="1"/>
  <c r="F36" i="1" s="1"/>
  <c r="F37" i="1" s="1"/>
  <c r="F38" i="1" s="1"/>
  <c r="F39" i="1" s="1"/>
  <c r="F40" i="1" s="1"/>
  <c r="F41" i="1" s="1"/>
  <c r="F42" i="1" s="1"/>
  <c r="F43" i="1" s="1"/>
  <c r="O29" i="1"/>
  <c r="D11" i="1"/>
  <c r="D7" i="1"/>
  <c r="H28" i="1"/>
  <c r="H27" i="1"/>
  <c r="H26" i="1"/>
  <c r="H25" i="1"/>
  <c r="H24" i="1"/>
  <c r="H23" i="1"/>
  <c r="H22" i="1"/>
  <c r="H21" i="1"/>
  <c r="H20" i="1"/>
  <c r="H19" i="1"/>
  <c r="L28" i="1"/>
  <c r="L27" i="1"/>
  <c r="L26" i="1"/>
  <c r="L25" i="1"/>
  <c r="L24" i="1"/>
  <c r="L23" i="1"/>
  <c r="L22" i="1"/>
  <c r="L21" i="1"/>
  <c r="L20" i="1"/>
  <c r="L19" i="1"/>
  <c r="P28" i="1"/>
  <c r="P27" i="1"/>
  <c r="P26" i="1"/>
  <c r="P25" i="1"/>
  <c r="P24" i="1"/>
  <c r="P23" i="1"/>
  <c r="P22" i="1"/>
  <c r="P21" i="1"/>
  <c r="P20" i="1"/>
  <c r="P19" i="1"/>
  <c r="P14" i="1"/>
  <c r="P13" i="1"/>
  <c r="P12" i="1"/>
  <c r="P11" i="1"/>
  <c r="P10" i="1"/>
  <c r="P9" i="1"/>
  <c r="P8" i="1"/>
  <c r="P7" i="1"/>
  <c r="P6" i="1"/>
  <c r="P5" i="1"/>
  <c r="L14" i="1"/>
  <c r="L13" i="1"/>
  <c r="L12" i="1"/>
  <c r="L11" i="1"/>
  <c r="L10" i="1"/>
  <c r="L9" i="1"/>
  <c r="L8" i="1"/>
  <c r="L7" i="1"/>
  <c r="L6" i="1"/>
  <c r="L5" i="1"/>
  <c r="H6" i="1"/>
  <c r="H7" i="1"/>
  <c r="H8" i="1"/>
  <c r="H9" i="1"/>
  <c r="H10" i="1"/>
  <c r="H11" i="1"/>
  <c r="H12" i="1"/>
  <c r="H13" i="1"/>
  <c r="H14" i="1"/>
  <c r="H5" i="1"/>
  <c r="K29" i="1"/>
  <c r="G29" i="1"/>
  <c r="N19" i="1"/>
  <c r="N20" i="1" s="1"/>
  <c r="N21" i="1" s="1"/>
  <c r="N22" i="1" s="1"/>
  <c r="N23" i="1" s="1"/>
  <c r="N24" i="1" s="1"/>
  <c r="N25" i="1" s="1"/>
  <c r="N26" i="1" s="1"/>
  <c r="N27" i="1" s="1"/>
  <c r="N28" i="1" s="1"/>
  <c r="J19" i="1"/>
  <c r="J20" i="1" s="1"/>
  <c r="J21" i="1" s="1"/>
  <c r="J22" i="1" s="1"/>
  <c r="J23" i="1" s="1"/>
  <c r="J24" i="1" s="1"/>
  <c r="J25" i="1" s="1"/>
  <c r="J26" i="1" s="1"/>
  <c r="J27" i="1" s="1"/>
  <c r="J28" i="1" s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N5" i="1"/>
  <c r="N6" i="1" s="1"/>
  <c r="N7" i="1" s="1"/>
  <c r="N8" i="1" s="1"/>
  <c r="N9" i="1" s="1"/>
  <c r="N10" i="1" s="1"/>
  <c r="N11" i="1" s="1"/>
  <c r="N12" i="1" s="1"/>
  <c r="N13" i="1" s="1"/>
  <c r="N14" i="1" s="1"/>
  <c r="O15" i="1"/>
  <c r="K15" i="1"/>
  <c r="G15" i="1"/>
  <c r="L131" i="1" l="1"/>
  <c r="P145" i="1"/>
  <c r="L145" i="1"/>
  <c r="H145" i="1"/>
  <c r="P131" i="1"/>
  <c r="O174" i="1"/>
  <c r="H131" i="1"/>
  <c r="G160" i="1"/>
  <c r="H150" i="1"/>
  <c r="O160" i="1"/>
  <c r="K174" i="1"/>
  <c r="K160" i="1"/>
  <c r="L152" i="1"/>
  <c r="L160" i="1" s="1"/>
  <c r="H160" i="1"/>
  <c r="G174" i="1"/>
  <c r="P174" i="1"/>
  <c r="L174" i="1"/>
  <c r="H174" i="1"/>
  <c r="P160" i="1"/>
  <c r="L73" i="1"/>
  <c r="L102" i="1"/>
  <c r="H73" i="1"/>
  <c r="P102" i="1"/>
  <c r="P73" i="1"/>
  <c r="H102" i="1"/>
  <c r="H87" i="1"/>
  <c r="H116" i="1"/>
  <c r="L116" i="1"/>
  <c r="P116" i="1"/>
  <c r="P87" i="1"/>
  <c r="L87" i="1"/>
  <c r="H29" i="1"/>
  <c r="P44" i="1"/>
  <c r="H44" i="1"/>
  <c r="H58" i="1"/>
  <c r="L58" i="1"/>
  <c r="P58" i="1"/>
  <c r="L44" i="1"/>
  <c r="P29" i="1"/>
  <c r="L29" i="1"/>
  <c r="P15" i="1"/>
  <c r="L15" i="1"/>
  <c r="H15" i="1"/>
</calcChain>
</file>

<file path=xl/sharedStrings.xml><?xml version="1.0" encoding="utf-8"?>
<sst xmlns="http://schemas.openxmlformats.org/spreadsheetml/2006/main" count="406" uniqueCount="55">
  <si>
    <t>AVG</t>
  </si>
  <si>
    <t>FPS</t>
  </si>
  <si>
    <t>GPU</t>
  </si>
  <si>
    <t>FLOCK</t>
  </si>
  <si>
    <t>HOME PC</t>
  </si>
  <si>
    <t>LAPTOP</t>
  </si>
  <si>
    <t>AVERAGE</t>
  </si>
  <si>
    <t>SINGLE</t>
  </si>
  <si>
    <t>MULTI</t>
  </si>
  <si>
    <t>EMPTY</t>
  </si>
  <si>
    <t>GAME</t>
  </si>
  <si>
    <t>N/A</t>
  </si>
  <si>
    <t xml:space="preserve">SCHOOL PC : C4 </t>
  </si>
  <si>
    <t xml:space="preserve">SCHOOL PC : C5 </t>
  </si>
  <si>
    <t xml:space="preserve">SCHOOL PC : C6 </t>
  </si>
  <si>
    <t>Kokonaisarvosana:</t>
  </si>
  <si>
    <t>Ei käyttäjäarvosteluja</t>
  </si>
  <si>
    <t>FRAME TIME (ms)</t>
  </si>
  <si>
    <t>GPU: RX 9070 XT | CPU: RYZEN 9 7900X</t>
  </si>
  <si>
    <t>GPU: RTX 4070 Laptop GPU | CPU: Intel Ultra 9 185H</t>
  </si>
  <si>
    <t>GPU: RTX 3080 | CPU: i7-13700K</t>
  </si>
  <si>
    <t>OMINAISUUS</t>
  </si>
  <si>
    <t>ARVO</t>
  </si>
  <si>
    <t>76 MB</t>
  </si>
  <si>
    <t>4.7GHz</t>
  </si>
  <si>
    <t>2400 MHz</t>
  </si>
  <si>
    <t>64 MB</t>
  </si>
  <si>
    <t>GDDR6</t>
  </si>
  <si>
    <t xml:space="preserve">640 GB/s </t>
  </si>
  <si>
    <t>24 MB</t>
  </si>
  <si>
    <t>2.3 GHz</t>
  </si>
  <si>
    <t>8 GB</t>
  </si>
  <si>
    <t>1395 MHz</t>
  </si>
  <si>
    <t xml:space="preserve">256.0 GB/s </t>
  </si>
  <si>
    <t>CU lkm.</t>
  </si>
  <si>
    <t>SM lkm.</t>
  </si>
  <si>
    <t>3.40 GHz</t>
  </si>
  <si>
    <t>30 MB</t>
  </si>
  <si>
    <t xml:space="preserve">760.3 GB/s </t>
  </si>
  <si>
    <t>GDDR6X</t>
  </si>
  <si>
    <t xml:space="preserve">10 GB </t>
  </si>
  <si>
    <t>1440 MHz</t>
  </si>
  <si>
    <t xml:space="preserve">RX 9070 XT </t>
  </si>
  <si>
    <t>Ryzen™ 9 7900X</t>
  </si>
  <si>
    <t xml:space="preserve">Intel Ultra 9 185H </t>
  </si>
  <si>
    <t>RTX 4070 Laptop</t>
  </si>
  <si>
    <t>RTX 3080</t>
  </si>
  <si>
    <t xml:space="preserve">Intel i7-13700K </t>
  </si>
  <si>
    <t>Ydin lkm.</t>
  </si>
  <si>
    <t>Säie  lkm.</t>
  </si>
  <si>
    <t>Taajus</t>
  </si>
  <si>
    <t>Cache</t>
  </si>
  <si>
    <t>Muisti määr.</t>
  </si>
  <si>
    <t>Muisti kaistanleveys</t>
  </si>
  <si>
    <t>Muisti tyyppi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</si>
</sst>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8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5" borderId="2" xfId="4" applyBorder="1" applyAlignment="1">
      <alignment horizontal="center"/>
    </xf>
    <xf numFmtId="0" fontId="1" fillId="5" borderId="1" xfId="4" applyBorder="1" applyAlignment="1">
      <alignment horizontal="center"/>
    </xf>
    <xf numFmtId="0" fontId="0" fillId="0" borderId="0" xfId="0" applyAlignment="1">
      <alignment horizontal="center"/>
    </xf>
    <xf numFmtId="0" fontId="1" fillId="4" borderId="0" xfId="3" applyBorder="1"/>
    <xf numFmtId="0" fontId="1" fillId="4" borderId="10" xfId="3" applyBorder="1"/>
    <xf numFmtId="0" fontId="1" fillId="4" borderId="7" xfId="3" applyBorder="1"/>
    <xf numFmtId="0" fontId="1" fillId="4" borderId="11" xfId="3" applyBorder="1"/>
    <xf numFmtId="0" fontId="1" fillId="4" borderId="9" xfId="3" applyBorder="1"/>
    <xf numFmtId="0" fontId="1" fillId="6" borderId="1" xfId="5" applyBorder="1" applyAlignment="1">
      <alignment horizontal="center"/>
    </xf>
    <xf numFmtId="0" fontId="1" fillId="7" borderId="2" xfId="6" applyBorder="1" applyAlignment="1">
      <alignment horizontal="center"/>
    </xf>
    <xf numFmtId="0" fontId="1" fillId="7" borderId="4" xfId="6" applyBorder="1" applyAlignment="1">
      <alignment horizontal="center"/>
    </xf>
    <xf numFmtId="0" fontId="1" fillId="7" borderId="1" xfId="6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13" xfId="3" applyBorder="1"/>
    <xf numFmtId="0" fontId="1" fillId="4" borderId="0" xfId="3"/>
    <xf numFmtId="0" fontId="1" fillId="4" borderId="12" xfId="3" applyBorder="1"/>
    <xf numFmtId="0" fontId="1" fillId="3" borderId="1" xfId="2" applyBorder="1" applyAlignment="1">
      <alignment horizontal="center"/>
    </xf>
    <xf numFmtId="0" fontId="2" fillId="0" borderId="0" xfId="7"/>
    <xf numFmtId="0" fontId="1" fillId="2" borderId="1" xfId="1" applyBorder="1" applyAlignment="1">
      <alignment horizontal="center"/>
    </xf>
    <xf numFmtId="0" fontId="4" fillId="9" borderId="3" xfId="8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5" borderId="1" xfId="4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6" borderId="2" xfId="5" applyBorder="1" applyAlignment="1">
      <alignment horizontal="center"/>
    </xf>
    <xf numFmtId="0" fontId="1" fillId="6" borderId="4" xfId="5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4" xfId="2" applyBorder="1" applyAlignment="1">
      <alignment horizontal="center"/>
    </xf>
    <xf numFmtId="0" fontId="5" fillId="6" borderId="2" xfId="9" applyFill="1" applyBorder="1" applyAlignment="1">
      <alignment horizontal="center"/>
    </xf>
    <xf numFmtId="0" fontId="5" fillId="6" borderId="3" xfId="9" applyFill="1" applyBorder="1" applyAlignment="1">
      <alignment horizontal="center"/>
    </xf>
    <xf numFmtId="0" fontId="5" fillId="6" borderId="4" xfId="9" applyFill="1" applyBorder="1" applyAlignment="1">
      <alignment horizontal="center"/>
    </xf>
    <xf numFmtId="0" fontId="5" fillId="7" borderId="12" xfId="9" applyFill="1" applyBorder="1" applyAlignment="1">
      <alignment horizontal="center"/>
    </xf>
    <xf numFmtId="0" fontId="5" fillId="7" borderId="11" xfId="9" applyFill="1" applyBorder="1" applyAlignment="1">
      <alignment horizontal="center"/>
    </xf>
    <xf numFmtId="0" fontId="5" fillId="7" borderId="8" xfId="9" applyFill="1" applyBorder="1" applyAlignment="1">
      <alignment horizontal="center"/>
    </xf>
    <xf numFmtId="0" fontId="5" fillId="3" borderId="12" xfId="9" applyFill="1" applyBorder="1" applyAlignment="1">
      <alignment horizontal="center"/>
    </xf>
    <xf numFmtId="0" fontId="5" fillId="3" borderId="11" xfId="9" applyFill="1" applyBorder="1" applyAlignment="1">
      <alignment horizontal="center"/>
    </xf>
    <xf numFmtId="0" fontId="5" fillId="3" borderId="8" xfId="9" applyFill="1" applyBorder="1" applyAlignment="1">
      <alignment horizontal="center"/>
    </xf>
    <xf numFmtId="0" fontId="1" fillId="7" borderId="2" xfId="6" applyBorder="1" applyAlignment="1">
      <alignment horizontal="center"/>
    </xf>
    <xf numFmtId="0" fontId="1" fillId="7" borderId="4" xfId="6" applyBorder="1" applyAlignment="1">
      <alignment horizontal="center"/>
    </xf>
    <xf numFmtId="0" fontId="5" fillId="0" borderId="2" xfId="9" applyBorder="1" applyAlignment="1">
      <alignment horizontal="center"/>
    </xf>
    <xf numFmtId="0" fontId="5" fillId="0" borderId="3" xfId="9" applyBorder="1" applyAlignment="1">
      <alignment horizontal="center"/>
    </xf>
    <xf numFmtId="0" fontId="5" fillId="0" borderId="4" xfId="9" applyBorder="1" applyAlignment="1">
      <alignment horizontal="center"/>
    </xf>
    <xf numFmtId="0" fontId="5" fillId="2" borderId="2" xfId="9" applyFill="1" applyBorder="1" applyAlignment="1">
      <alignment horizontal="center"/>
    </xf>
    <xf numFmtId="0" fontId="5" fillId="2" borderId="3" xfId="9" applyFill="1" applyBorder="1" applyAlignment="1">
      <alignment horizontal="center"/>
    </xf>
    <xf numFmtId="0" fontId="5" fillId="2" borderId="4" xfId="9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1" fillId="5" borderId="2" xfId="4" applyBorder="1"/>
    <xf numFmtId="0" fontId="1" fillId="5" borderId="3" xfId="4" applyBorder="1"/>
    <xf numFmtId="0" fontId="1" fillId="5" borderId="4" xfId="4" applyBorder="1" applyAlignment="1">
      <alignment horizontal="right"/>
    </xf>
    <xf numFmtId="0" fontId="0" fillId="0" borderId="12" xfId="0" applyBorder="1"/>
    <xf numFmtId="0" fontId="0" fillId="0" borderId="11" xfId="0" applyBorder="1"/>
    <xf numFmtId="0" fontId="0" fillId="0" borderId="8" xfId="0" applyBorder="1"/>
    <xf numFmtId="0" fontId="5" fillId="3" borderId="2" xfId="9" applyFill="1" applyBorder="1" applyAlignment="1">
      <alignment horizontal="center"/>
    </xf>
    <xf numFmtId="0" fontId="5" fillId="3" borderId="3" xfId="9" applyFill="1" applyBorder="1" applyAlignment="1">
      <alignment horizontal="center"/>
    </xf>
    <xf numFmtId="0" fontId="5" fillId="3" borderId="4" xfId="9" applyFill="1" applyBorder="1" applyAlignment="1">
      <alignment horizontal="center"/>
    </xf>
    <xf numFmtId="0" fontId="5" fillId="7" borderId="2" xfId="9" applyFill="1" applyBorder="1" applyAlignment="1">
      <alignment horizontal="center"/>
    </xf>
    <xf numFmtId="0" fontId="5" fillId="7" borderId="3" xfId="9" applyFill="1" applyBorder="1" applyAlignment="1">
      <alignment horizontal="center"/>
    </xf>
    <xf numFmtId="0" fontId="5" fillId="7" borderId="4" xfId="9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Border="1" applyAlignment="1">
      <alignment horizontal="center"/>
    </xf>
  </cellXfs>
  <cellStyles count="10">
    <cellStyle name="20 % - Aksentti3" xfId="3" builtinId="38"/>
    <cellStyle name="40 % - Aksentti3" xfId="4" builtinId="39"/>
    <cellStyle name="60 % - Aksentti1" xfId="1" builtinId="32"/>
    <cellStyle name="60 % - Aksentti2" xfId="2" builtinId="36"/>
    <cellStyle name="60 % - Aksentti4" xfId="5" builtinId="44"/>
    <cellStyle name="60 % - Aksentti6" xfId="6" builtinId="52"/>
    <cellStyle name="Huono" xfId="8" builtinId="27"/>
    <cellStyle name="Hyperlinkki" xfId="7" builtinId="8"/>
    <cellStyle name="Normaali" xfId="0" builtinId="0"/>
    <cellStyle name="Otsikko" xfId="9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HOME PC</a:t>
            </a:r>
            <a:r>
              <a:rPr lang="fi-FI" baseline="0"/>
              <a:t> : EMPTY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Taul1!$G$3:$G$4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Taul1!$F$5:$F$14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Taul1!$G$5:$G$14</c:f>
              <c:numCache>
                <c:formatCode>General</c:formatCode>
                <c:ptCount val="10"/>
                <c:pt idx="0">
                  <c:v>119.1</c:v>
                </c:pt>
                <c:pt idx="1">
                  <c:v>120.3</c:v>
                </c:pt>
                <c:pt idx="2">
                  <c:v>120.2</c:v>
                </c:pt>
                <c:pt idx="3">
                  <c:v>119.8</c:v>
                </c:pt>
                <c:pt idx="4">
                  <c:v>121.2</c:v>
                </c:pt>
                <c:pt idx="5">
                  <c:v>111.5</c:v>
                </c:pt>
                <c:pt idx="6">
                  <c:v>75.3</c:v>
                </c:pt>
                <c:pt idx="7">
                  <c:v>46.7</c:v>
                </c:pt>
                <c:pt idx="8">
                  <c:v>25.4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2-42E8-BA32-42CE3941F520}"/>
            </c:ext>
          </c:extLst>
        </c:ser>
        <c:ser>
          <c:idx val="1"/>
          <c:order val="1"/>
          <c:tx>
            <c:strRef>
              <c:f>Taul1!$K$3:$K$4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Taul1!$J$5:$J$14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Taul1!$K$5:$K$14</c:f>
              <c:numCache>
                <c:formatCode>General</c:formatCode>
                <c:ptCount val="10"/>
                <c:pt idx="0">
                  <c:v>119.6</c:v>
                </c:pt>
                <c:pt idx="1">
                  <c:v>121</c:v>
                </c:pt>
                <c:pt idx="2">
                  <c:v>121</c:v>
                </c:pt>
                <c:pt idx="3">
                  <c:v>120.7</c:v>
                </c:pt>
                <c:pt idx="4">
                  <c:v>120.8</c:v>
                </c:pt>
                <c:pt idx="5">
                  <c:v>113.4</c:v>
                </c:pt>
                <c:pt idx="6">
                  <c:v>80.8</c:v>
                </c:pt>
                <c:pt idx="7">
                  <c:v>53.2</c:v>
                </c:pt>
                <c:pt idx="8">
                  <c:v>32.200000000000003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2-42E8-BA32-42CE3941F520}"/>
            </c:ext>
          </c:extLst>
        </c:ser>
        <c:ser>
          <c:idx val="2"/>
          <c:order val="2"/>
          <c:tx>
            <c:strRef>
              <c:f>Taul1!$O$3:$O$4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Taul1!$N$5:$N$14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Taul1!$O$5:$O$14</c:f>
              <c:numCache>
                <c:formatCode>General</c:formatCode>
                <c:ptCount val="10"/>
                <c:pt idx="0">
                  <c:v>121</c:v>
                </c:pt>
                <c:pt idx="1">
                  <c:v>120.5</c:v>
                </c:pt>
                <c:pt idx="2">
                  <c:v>120.4</c:v>
                </c:pt>
                <c:pt idx="3">
                  <c:v>120.8</c:v>
                </c:pt>
                <c:pt idx="4">
                  <c:v>120.5</c:v>
                </c:pt>
                <c:pt idx="5">
                  <c:v>120.8</c:v>
                </c:pt>
                <c:pt idx="6">
                  <c:v>120.7</c:v>
                </c:pt>
                <c:pt idx="7">
                  <c:v>120.7</c:v>
                </c:pt>
                <c:pt idx="8">
                  <c:v>121.1</c:v>
                </c:pt>
                <c:pt idx="9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2-42E8-BA32-42CE3941F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7005552"/>
        <c:axId val="817003152"/>
      </c:barChart>
      <c:catAx>
        <c:axId val="8170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17003152"/>
        <c:crosses val="autoZero"/>
        <c:auto val="1"/>
        <c:lblAlgn val="ctr"/>
        <c:lblOffset val="100"/>
        <c:noMultiLvlLbl val="1"/>
      </c:catAx>
      <c:valAx>
        <c:axId val="8170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8170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HOME</a:t>
            </a:r>
            <a:r>
              <a:rPr lang="fi-FI" baseline="0"/>
              <a:t> PC : GAME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Taul1!$G$17:$G$18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Taul1!$F$19:$F$28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Taul1!$G$19:$G$28</c:f>
              <c:numCache>
                <c:formatCode>General</c:formatCode>
                <c:ptCount val="10"/>
                <c:pt idx="0">
                  <c:v>32.5</c:v>
                </c:pt>
                <c:pt idx="1">
                  <c:v>32.5</c:v>
                </c:pt>
                <c:pt idx="2">
                  <c:v>32.4</c:v>
                </c:pt>
                <c:pt idx="3">
                  <c:v>31.6</c:v>
                </c:pt>
                <c:pt idx="4">
                  <c:v>31</c:v>
                </c:pt>
                <c:pt idx="5">
                  <c:v>28.8</c:v>
                </c:pt>
                <c:pt idx="6">
                  <c:v>26</c:v>
                </c:pt>
                <c:pt idx="7">
                  <c:v>21.6</c:v>
                </c:pt>
                <c:pt idx="8">
                  <c:v>14.9</c:v>
                </c:pt>
                <c:pt idx="9">
                  <c:v>9.8000000000000007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E72-A8D4-481D46EB8667}"/>
            </c:ext>
          </c:extLst>
        </c:ser>
        <c:ser>
          <c:idx val="1"/>
          <c:order val="1"/>
          <c:tx>
            <c:strRef>
              <c:f>Taul1!$K$17:$K$18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Taul1!$J$19:$J$28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Taul1!$K$19:$K$28</c:f>
              <c:numCache>
                <c:formatCode>General</c:formatCode>
                <c:ptCount val="10"/>
                <c:pt idx="0">
                  <c:v>32.799999999999997</c:v>
                </c:pt>
                <c:pt idx="1">
                  <c:v>33.200000000000003</c:v>
                </c:pt>
                <c:pt idx="2">
                  <c:v>32.799999999999997</c:v>
                </c:pt>
                <c:pt idx="3">
                  <c:v>31.5</c:v>
                </c:pt>
                <c:pt idx="4">
                  <c:v>31</c:v>
                </c:pt>
                <c:pt idx="5">
                  <c:v>29.2</c:v>
                </c:pt>
                <c:pt idx="6">
                  <c:v>25.8</c:v>
                </c:pt>
                <c:pt idx="7">
                  <c:v>23.4</c:v>
                </c:pt>
                <c:pt idx="8">
                  <c:v>15.7</c:v>
                </c:pt>
                <c:pt idx="9">
                  <c:v>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1-4E72-A8D4-481D46EB8667}"/>
            </c:ext>
          </c:extLst>
        </c:ser>
        <c:ser>
          <c:idx val="2"/>
          <c:order val="2"/>
          <c:tx>
            <c:strRef>
              <c:f>Taul1!$O$17:$O$18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Taul1!$N$19:$N$28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Taul1!$O$19:$O$28</c:f>
              <c:numCache>
                <c:formatCode>General</c:formatCode>
                <c:ptCount val="10"/>
                <c:pt idx="0">
                  <c:v>33.200000000000003</c:v>
                </c:pt>
                <c:pt idx="1">
                  <c:v>32.9</c:v>
                </c:pt>
                <c:pt idx="2">
                  <c:v>33</c:v>
                </c:pt>
                <c:pt idx="3">
                  <c:v>33.799999999999997</c:v>
                </c:pt>
                <c:pt idx="4">
                  <c:v>33.299999999999997</c:v>
                </c:pt>
                <c:pt idx="5">
                  <c:v>33</c:v>
                </c:pt>
                <c:pt idx="6">
                  <c:v>33.700000000000003</c:v>
                </c:pt>
                <c:pt idx="7">
                  <c:v>33.5</c:v>
                </c:pt>
                <c:pt idx="8">
                  <c:v>33.9</c:v>
                </c:pt>
                <c:pt idx="9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1-4E72-A8D4-481D46EB8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542320"/>
        <c:axId val="316543280"/>
      </c:barChart>
      <c:catAx>
        <c:axId val="3165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16543280"/>
        <c:crosses val="autoZero"/>
        <c:auto val="1"/>
        <c:lblAlgn val="ctr"/>
        <c:lblOffset val="100"/>
        <c:noMultiLvlLbl val="1"/>
      </c:catAx>
      <c:valAx>
        <c:axId val="3165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165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LAPTOP PC : EMPTY</a:t>
            </a:r>
            <a:r>
              <a:rPr lang="fi-FI" baseline="0"/>
              <a:t>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Taul1!$G$32:$G$33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Taul1!$F$34:$F$43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Taul1!$G$34:$G$43</c:f>
              <c:numCache>
                <c:formatCode>General</c:formatCode>
                <c:ptCount val="10"/>
                <c:pt idx="0">
                  <c:v>95.4</c:v>
                </c:pt>
                <c:pt idx="1">
                  <c:v>108.5</c:v>
                </c:pt>
                <c:pt idx="2">
                  <c:v>110.7</c:v>
                </c:pt>
                <c:pt idx="3">
                  <c:v>106</c:v>
                </c:pt>
                <c:pt idx="4">
                  <c:v>95.3</c:v>
                </c:pt>
                <c:pt idx="5">
                  <c:v>89.3</c:v>
                </c:pt>
                <c:pt idx="6">
                  <c:v>62.4</c:v>
                </c:pt>
                <c:pt idx="7">
                  <c:v>40.6</c:v>
                </c:pt>
                <c:pt idx="8">
                  <c:v>24.3</c:v>
                </c:pt>
                <c:pt idx="9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6-4B6F-B2CD-D1358E2AD0E5}"/>
            </c:ext>
          </c:extLst>
        </c:ser>
        <c:ser>
          <c:idx val="1"/>
          <c:order val="1"/>
          <c:tx>
            <c:strRef>
              <c:f>Taul1!$K$32:$K$33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Taul1!$J$34:$J$43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Taul1!$K$34:$K$43</c:f>
              <c:numCache>
                <c:formatCode>General</c:formatCode>
                <c:ptCount val="10"/>
                <c:pt idx="0">
                  <c:v>94.3</c:v>
                </c:pt>
                <c:pt idx="1">
                  <c:v>117.9</c:v>
                </c:pt>
                <c:pt idx="2">
                  <c:v>109.2</c:v>
                </c:pt>
                <c:pt idx="3">
                  <c:v>107.9</c:v>
                </c:pt>
                <c:pt idx="4">
                  <c:v>100.3</c:v>
                </c:pt>
                <c:pt idx="5">
                  <c:v>85.8</c:v>
                </c:pt>
                <c:pt idx="6">
                  <c:v>58.6</c:v>
                </c:pt>
                <c:pt idx="7">
                  <c:v>45.6</c:v>
                </c:pt>
                <c:pt idx="8">
                  <c:v>28.4</c:v>
                </c:pt>
                <c:pt idx="9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6-4B6F-B2CD-D1358E2AD0E5}"/>
            </c:ext>
          </c:extLst>
        </c:ser>
        <c:ser>
          <c:idx val="2"/>
          <c:order val="2"/>
          <c:tx>
            <c:strRef>
              <c:f>Taul1!$O$32:$O$33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Taul1!$N$34:$N$43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Taul1!$O$34:$O$43</c:f>
              <c:numCache>
                <c:formatCode>General</c:formatCode>
                <c:ptCount val="10"/>
                <c:pt idx="0">
                  <c:v>94</c:v>
                </c:pt>
                <c:pt idx="1">
                  <c:v>105</c:v>
                </c:pt>
                <c:pt idx="2">
                  <c:v>109.5</c:v>
                </c:pt>
                <c:pt idx="3">
                  <c:v>109</c:v>
                </c:pt>
                <c:pt idx="4">
                  <c:v>109</c:v>
                </c:pt>
                <c:pt idx="5">
                  <c:v>109.8</c:v>
                </c:pt>
                <c:pt idx="6">
                  <c:v>108</c:v>
                </c:pt>
                <c:pt idx="7">
                  <c:v>104.6</c:v>
                </c:pt>
                <c:pt idx="8">
                  <c:v>107.3</c:v>
                </c:pt>
                <c:pt idx="9">
                  <c:v>106.8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6-4B6F-B2CD-D1358E2A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515264"/>
        <c:axId val="313517184"/>
      </c:barChart>
      <c:catAx>
        <c:axId val="31351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13517184"/>
        <c:crosses val="autoZero"/>
        <c:auto val="1"/>
        <c:lblAlgn val="ctr"/>
        <c:lblOffset val="100"/>
        <c:noMultiLvlLbl val="1"/>
      </c:catAx>
      <c:valAx>
        <c:axId val="3135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135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LAPTOP PC : GAME SCENE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Taul1!$G$46:$G$47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Taul1!$F$48:$F$57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Taul1!$G$48:$G$57</c:f>
              <c:numCache>
                <c:formatCode>General</c:formatCode>
                <c:ptCount val="10"/>
                <c:pt idx="0">
                  <c:v>27.5</c:v>
                </c:pt>
                <c:pt idx="1">
                  <c:v>24.1</c:v>
                </c:pt>
                <c:pt idx="2">
                  <c:v>26.6</c:v>
                </c:pt>
                <c:pt idx="3">
                  <c:v>27</c:v>
                </c:pt>
                <c:pt idx="4">
                  <c:v>25.7</c:v>
                </c:pt>
                <c:pt idx="5">
                  <c:v>22.5</c:v>
                </c:pt>
                <c:pt idx="6">
                  <c:v>19.3</c:v>
                </c:pt>
                <c:pt idx="7">
                  <c:v>18.5</c:v>
                </c:pt>
                <c:pt idx="8">
                  <c:v>13.6</c:v>
                </c:pt>
                <c:pt idx="9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D-4873-8C87-C7DC74B5EBB0}"/>
            </c:ext>
          </c:extLst>
        </c:ser>
        <c:ser>
          <c:idx val="1"/>
          <c:order val="1"/>
          <c:tx>
            <c:strRef>
              <c:f>Taul1!$K$46:$K$47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Taul1!$J$48:$J$57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Taul1!$K$48:$K$57</c:f>
              <c:numCache>
                <c:formatCode>General</c:formatCode>
                <c:ptCount val="10"/>
                <c:pt idx="0">
                  <c:v>28.9</c:v>
                </c:pt>
                <c:pt idx="1">
                  <c:v>20.6</c:v>
                </c:pt>
                <c:pt idx="2">
                  <c:v>23.7</c:v>
                </c:pt>
                <c:pt idx="3">
                  <c:v>24.9</c:v>
                </c:pt>
                <c:pt idx="4">
                  <c:v>22</c:v>
                </c:pt>
                <c:pt idx="5">
                  <c:v>23.1</c:v>
                </c:pt>
                <c:pt idx="6">
                  <c:v>15.7</c:v>
                </c:pt>
                <c:pt idx="7">
                  <c:v>18.5</c:v>
                </c:pt>
                <c:pt idx="8">
                  <c:v>15</c:v>
                </c:pt>
                <c:pt idx="9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D-4873-8C87-C7DC74B5EBB0}"/>
            </c:ext>
          </c:extLst>
        </c:ser>
        <c:ser>
          <c:idx val="2"/>
          <c:order val="2"/>
          <c:tx>
            <c:strRef>
              <c:f>Taul1!$O$46:$O$47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Taul1!$N$48:$N$57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Taul1!$O$48:$O$57</c:f>
              <c:numCache>
                <c:formatCode>General</c:formatCode>
                <c:ptCount val="10"/>
                <c:pt idx="0">
                  <c:v>26.8</c:v>
                </c:pt>
                <c:pt idx="1">
                  <c:v>26.7</c:v>
                </c:pt>
                <c:pt idx="2">
                  <c:v>26.3</c:v>
                </c:pt>
                <c:pt idx="3">
                  <c:v>28.2</c:v>
                </c:pt>
                <c:pt idx="4">
                  <c:v>24.3</c:v>
                </c:pt>
                <c:pt idx="5">
                  <c:v>24.5</c:v>
                </c:pt>
                <c:pt idx="6">
                  <c:v>24.6</c:v>
                </c:pt>
                <c:pt idx="7">
                  <c:v>23.5</c:v>
                </c:pt>
                <c:pt idx="8">
                  <c:v>25.7</c:v>
                </c:pt>
                <c:pt idx="9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D-4873-8C87-C7DC74B5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900832"/>
        <c:axId val="322895072"/>
      </c:barChart>
      <c:catAx>
        <c:axId val="32290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22895072"/>
        <c:crosses val="autoZero"/>
        <c:auto val="1"/>
        <c:lblAlgn val="ctr"/>
        <c:lblOffset val="100"/>
        <c:noMultiLvlLbl val="1"/>
      </c:catAx>
      <c:valAx>
        <c:axId val="3228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229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 PC</a:t>
            </a:r>
            <a:r>
              <a:rPr lang="fi-FI" baseline="0"/>
              <a:t> C4 </a:t>
            </a:r>
            <a:r>
              <a:rPr lang="fi-FI"/>
              <a:t>: EMPTY</a:t>
            </a:r>
            <a:r>
              <a:rPr lang="fi-FI" baseline="0"/>
              <a:t> SCENE</a:t>
            </a:r>
            <a:r>
              <a:rPr lang="fi-FI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Taul1!$G$61:$G$62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Taul1!$F$63:$F$72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Taul1!$G$63:$G$72</c:f>
              <c:numCache>
                <c:formatCode>General</c:formatCode>
                <c:ptCount val="10"/>
                <c:pt idx="0">
                  <c:v>120.6</c:v>
                </c:pt>
                <c:pt idx="1">
                  <c:v>120.2</c:v>
                </c:pt>
                <c:pt idx="2">
                  <c:v>68.8</c:v>
                </c:pt>
                <c:pt idx="3">
                  <c:v>119.5</c:v>
                </c:pt>
                <c:pt idx="4">
                  <c:v>65.900000000000006</c:v>
                </c:pt>
                <c:pt idx="5">
                  <c:v>120</c:v>
                </c:pt>
                <c:pt idx="6">
                  <c:v>93.6</c:v>
                </c:pt>
                <c:pt idx="7">
                  <c:v>57.6</c:v>
                </c:pt>
                <c:pt idx="8">
                  <c:v>31.3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A-40DD-94C5-73651EA95107}"/>
            </c:ext>
          </c:extLst>
        </c:ser>
        <c:ser>
          <c:idx val="1"/>
          <c:order val="1"/>
          <c:tx>
            <c:strRef>
              <c:f>Taul1!$K$61:$K$62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Taul1!$J$63:$J$72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Taul1!$K$63:$K$72</c:f>
              <c:numCache>
                <c:formatCode>General</c:formatCode>
                <c:ptCount val="10"/>
                <c:pt idx="0">
                  <c:v>119.8</c:v>
                </c:pt>
                <c:pt idx="1">
                  <c:v>106</c:v>
                </c:pt>
                <c:pt idx="2">
                  <c:v>115.2</c:v>
                </c:pt>
                <c:pt idx="3">
                  <c:v>108.5</c:v>
                </c:pt>
                <c:pt idx="4">
                  <c:v>119.3</c:v>
                </c:pt>
                <c:pt idx="5">
                  <c:v>108.8</c:v>
                </c:pt>
                <c:pt idx="6">
                  <c:v>106</c:v>
                </c:pt>
                <c:pt idx="7">
                  <c:v>70.8</c:v>
                </c:pt>
                <c:pt idx="8">
                  <c:v>40.200000000000003</c:v>
                </c:pt>
                <c:pt idx="9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A-40DD-94C5-73651EA95107}"/>
            </c:ext>
          </c:extLst>
        </c:ser>
        <c:ser>
          <c:idx val="2"/>
          <c:order val="2"/>
          <c:tx>
            <c:strRef>
              <c:f>Taul1!$O$61:$O$62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Taul1!$N$63:$N$72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Taul1!$O$63:$O$72</c:f>
              <c:numCache>
                <c:formatCode>General</c:formatCode>
                <c:ptCount val="10"/>
                <c:pt idx="0">
                  <c:v>117.3</c:v>
                </c:pt>
                <c:pt idx="1">
                  <c:v>74.400000000000006</c:v>
                </c:pt>
                <c:pt idx="2">
                  <c:v>113.4</c:v>
                </c:pt>
                <c:pt idx="3">
                  <c:v>108</c:v>
                </c:pt>
                <c:pt idx="4">
                  <c:v>111.7</c:v>
                </c:pt>
                <c:pt idx="5">
                  <c:v>111.4</c:v>
                </c:pt>
                <c:pt idx="6">
                  <c:v>110.7</c:v>
                </c:pt>
                <c:pt idx="7">
                  <c:v>112.7</c:v>
                </c:pt>
                <c:pt idx="8">
                  <c:v>110.6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A-40DD-94C5-73651EA9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716848"/>
        <c:axId val="1234717808"/>
      </c:barChart>
      <c:catAx>
        <c:axId val="123471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34717808"/>
        <c:crosses val="autoZero"/>
        <c:auto val="1"/>
        <c:lblAlgn val="ctr"/>
        <c:lblOffset val="100"/>
        <c:noMultiLvlLbl val="1"/>
      </c:catAx>
      <c:valAx>
        <c:axId val="12347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23471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</a:t>
            </a:r>
            <a:r>
              <a:rPr lang="fi-FI" baseline="0"/>
              <a:t> PC C4 : GAME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Taul1!$G$75:$G$76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Taul1!$F$77:$F$86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Taul1!$G$77:$G$86</c:f>
              <c:numCache>
                <c:formatCode>General</c:formatCode>
                <c:ptCount val="10"/>
                <c:pt idx="0">
                  <c:v>38.1</c:v>
                </c:pt>
                <c:pt idx="1">
                  <c:v>37.200000000000003</c:v>
                </c:pt>
                <c:pt idx="2">
                  <c:v>38.299999999999997</c:v>
                </c:pt>
                <c:pt idx="3">
                  <c:v>37.799999999999997</c:v>
                </c:pt>
                <c:pt idx="4">
                  <c:v>34.200000000000003</c:v>
                </c:pt>
                <c:pt idx="5">
                  <c:v>34.4</c:v>
                </c:pt>
                <c:pt idx="6">
                  <c:v>31.8</c:v>
                </c:pt>
                <c:pt idx="7">
                  <c:v>25.6</c:v>
                </c:pt>
                <c:pt idx="8">
                  <c:v>19</c:v>
                </c:pt>
                <c:pt idx="9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4-46F6-8CDC-F44D83EE752E}"/>
            </c:ext>
          </c:extLst>
        </c:ser>
        <c:ser>
          <c:idx val="1"/>
          <c:order val="1"/>
          <c:tx>
            <c:strRef>
              <c:f>Taul1!$K$75:$K$76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Taul1!$J$77:$J$86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Taul1!$K$77:$K$86</c:f>
              <c:numCache>
                <c:formatCode>General</c:formatCode>
                <c:ptCount val="10"/>
                <c:pt idx="0">
                  <c:v>38.4</c:v>
                </c:pt>
                <c:pt idx="1">
                  <c:v>33.9</c:v>
                </c:pt>
                <c:pt idx="2">
                  <c:v>37</c:v>
                </c:pt>
                <c:pt idx="3">
                  <c:v>37.799999999999997</c:v>
                </c:pt>
                <c:pt idx="4">
                  <c:v>35.5</c:v>
                </c:pt>
                <c:pt idx="5">
                  <c:v>34.200000000000003</c:v>
                </c:pt>
                <c:pt idx="6">
                  <c:v>31.3</c:v>
                </c:pt>
                <c:pt idx="7">
                  <c:v>26.7</c:v>
                </c:pt>
                <c:pt idx="8">
                  <c:v>19.899999999999999</c:v>
                </c:pt>
                <c:pt idx="9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4-46F6-8CDC-F44D83EE752E}"/>
            </c:ext>
          </c:extLst>
        </c:ser>
        <c:ser>
          <c:idx val="2"/>
          <c:order val="2"/>
          <c:tx>
            <c:strRef>
              <c:f>Taul1!$O$75:$O$76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Taul1!$N$77:$N$86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Taul1!$O$77:$O$86</c:f>
              <c:numCache>
                <c:formatCode>General</c:formatCode>
                <c:ptCount val="10"/>
                <c:pt idx="0">
                  <c:v>37.6</c:v>
                </c:pt>
                <c:pt idx="1">
                  <c:v>35.4</c:v>
                </c:pt>
                <c:pt idx="2">
                  <c:v>35</c:v>
                </c:pt>
                <c:pt idx="3">
                  <c:v>36.5</c:v>
                </c:pt>
                <c:pt idx="4">
                  <c:v>35.6</c:v>
                </c:pt>
                <c:pt idx="5">
                  <c:v>38.299999999999997</c:v>
                </c:pt>
                <c:pt idx="6">
                  <c:v>34.4</c:v>
                </c:pt>
                <c:pt idx="7">
                  <c:v>38.4</c:v>
                </c:pt>
                <c:pt idx="8">
                  <c:v>39.5</c:v>
                </c:pt>
                <c:pt idx="9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34-46F6-8CDC-F44D83EE7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442208"/>
        <c:axId val="2036442688"/>
      </c:barChart>
      <c:catAx>
        <c:axId val="203644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36442688"/>
        <c:crosses val="autoZero"/>
        <c:auto val="1"/>
        <c:lblAlgn val="ctr"/>
        <c:lblOffset val="100"/>
        <c:noMultiLvlLbl val="1"/>
      </c:catAx>
      <c:valAx>
        <c:axId val="20364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364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</a:t>
            </a:r>
            <a:r>
              <a:rPr lang="fi-FI" baseline="0"/>
              <a:t> PC C5 : EMPTY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Taul1!$G$90:$G$91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Taul1!$F$92:$F$101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Taul1!$G$92:$G$101</c:f>
              <c:numCache>
                <c:formatCode>General</c:formatCode>
                <c:ptCount val="10"/>
                <c:pt idx="0">
                  <c:v>120.6</c:v>
                </c:pt>
                <c:pt idx="1">
                  <c:v>119.8</c:v>
                </c:pt>
                <c:pt idx="2">
                  <c:v>119.9</c:v>
                </c:pt>
                <c:pt idx="3">
                  <c:v>120.7</c:v>
                </c:pt>
                <c:pt idx="4">
                  <c:v>120.2</c:v>
                </c:pt>
                <c:pt idx="5">
                  <c:v>120.3</c:v>
                </c:pt>
                <c:pt idx="6">
                  <c:v>100.4</c:v>
                </c:pt>
                <c:pt idx="7">
                  <c:v>57.3</c:v>
                </c:pt>
                <c:pt idx="8">
                  <c:v>30.6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F-4099-AB05-3CE2BCBAF193}"/>
            </c:ext>
          </c:extLst>
        </c:ser>
        <c:ser>
          <c:idx val="1"/>
          <c:order val="1"/>
          <c:tx>
            <c:strRef>
              <c:f>Taul1!$K$90:$K$91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Taul1!$J$92:$J$101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Taul1!$K$92:$K$101</c:f>
              <c:numCache>
                <c:formatCode>General</c:formatCode>
                <c:ptCount val="10"/>
                <c:pt idx="0">
                  <c:v>86.3</c:v>
                </c:pt>
                <c:pt idx="1">
                  <c:v>119.8</c:v>
                </c:pt>
                <c:pt idx="2">
                  <c:v>120.6</c:v>
                </c:pt>
                <c:pt idx="3">
                  <c:v>119.8</c:v>
                </c:pt>
                <c:pt idx="4">
                  <c:v>119.8</c:v>
                </c:pt>
                <c:pt idx="5">
                  <c:v>120.8</c:v>
                </c:pt>
                <c:pt idx="6">
                  <c:v>117.9</c:v>
                </c:pt>
                <c:pt idx="7">
                  <c:v>72.900000000000006</c:v>
                </c:pt>
                <c:pt idx="8">
                  <c:v>40.9</c:v>
                </c:pt>
                <c:pt idx="9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F-4099-AB05-3CE2BCBAF193}"/>
            </c:ext>
          </c:extLst>
        </c:ser>
        <c:ser>
          <c:idx val="2"/>
          <c:order val="2"/>
          <c:tx>
            <c:strRef>
              <c:f>Taul1!$O$90:$O$91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Taul1!$N$92:$N$101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Taul1!$O$92:$O$101</c:f>
              <c:numCache>
                <c:formatCode>General</c:formatCode>
                <c:ptCount val="10"/>
                <c:pt idx="0">
                  <c:v>120.1</c:v>
                </c:pt>
                <c:pt idx="1">
                  <c:v>120.2</c:v>
                </c:pt>
                <c:pt idx="2">
                  <c:v>112.4</c:v>
                </c:pt>
                <c:pt idx="3">
                  <c:v>120.4</c:v>
                </c:pt>
                <c:pt idx="4">
                  <c:v>109.7</c:v>
                </c:pt>
                <c:pt idx="5">
                  <c:v>112.1</c:v>
                </c:pt>
                <c:pt idx="6">
                  <c:v>111.8</c:v>
                </c:pt>
                <c:pt idx="7">
                  <c:v>120.1</c:v>
                </c:pt>
                <c:pt idx="8">
                  <c:v>120.8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F-4099-AB05-3CE2BCBAF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317776"/>
        <c:axId val="349318736"/>
      </c:barChart>
      <c:catAx>
        <c:axId val="34931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49318736"/>
        <c:crosses val="autoZero"/>
        <c:auto val="1"/>
        <c:lblAlgn val="ctr"/>
        <c:lblOffset val="100"/>
        <c:noMultiLvlLbl val="1"/>
      </c:catAx>
      <c:valAx>
        <c:axId val="3493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4931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</a:t>
            </a:r>
            <a:r>
              <a:rPr lang="fi-FI" baseline="0"/>
              <a:t> PC C5 : GAME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Taul1!$G$104:$G$105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Taul1!$F$106:$F$115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Taul1!$G$106:$G$115</c:f>
              <c:numCache>
                <c:formatCode>General</c:formatCode>
                <c:ptCount val="10"/>
                <c:pt idx="0">
                  <c:v>41.4</c:v>
                </c:pt>
                <c:pt idx="1">
                  <c:v>40.799999999999997</c:v>
                </c:pt>
                <c:pt idx="2">
                  <c:v>40.6</c:v>
                </c:pt>
                <c:pt idx="3">
                  <c:v>39.799999999999997</c:v>
                </c:pt>
                <c:pt idx="4">
                  <c:v>38.1</c:v>
                </c:pt>
                <c:pt idx="5">
                  <c:v>35.5</c:v>
                </c:pt>
                <c:pt idx="6">
                  <c:v>32</c:v>
                </c:pt>
                <c:pt idx="7">
                  <c:v>26.1</c:v>
                </c:pt>
                <c:pt idx="8">
                  <c:v>18.7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3-41AF-94B5-2DA54F7B2260}"/>
            </c:ext>
          </c:extLst>
        </c:ser>
        <c:ser>
          <c:idx val="1"/>
          <c:order val="1"/>
          <c:tx>
            <c:strRef>
              <c:f>Taul1!$K$104:$K$105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Taul1!$J$106:$J$115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Taul1!$K$106:$K$115</c:f>
              <c:numCache>
                <c:formatCode>General</c:formatCode>
                <c:ptCount val="10"/>
                <c:pt idx="0">
                  <c:v>41.7</c:v>
                </c:pt>
                <c:pt idx="1">
                  <c:v>40.1</c:v>
                </c:pt>
                <c:pt idx="2">
                  <c:v>39.799999999999997</c:v>
                </c:pt>
                <c:pt idx="3">
                  <c:v>39.299999999999997</c:v>
                </c:pt>
                <c:pt idx="4">
                  <c:v>38.9</c:v>
                </c:pt>
                <c:pt idx="5">
                  <c:v>36.4</c:v>
                </c:pt>
                <c:pt idx="6">
                  <c:v>33.799999999999997</c:v>
                </c:pt>
                <c:pt idx="7">
                  <c:v>27.4</c:v>
                </c:pt>
                <c:pt idx="8">
                  <c:v>21.1</c:v>
                </c:pt>
                <c:pt idx="9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3-41AF-94B5-2DA54F7B2260}"/>
            </c:ext>
          </c:extLst>
        </c:ser>
        <c:ser>
          <c:idx val="2"/>
          <c:order val="2"/>
          <c:tx>
            <c:strRef>
              <c:f>Taul1!$O$104:$O$105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Taul1!$N$106:$N$115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Taul1!$O$106:$O$115</c:f>
              <c:numCache>
                <c:formatCode>General</c:formatCode>
                <c:ptCount val="10"/>
                <c:pt idx="0">
                  <c:v>41.2</c:v>
                </c:pt>
                <c:pt idx="1">
                  <c:v>41.6</c:v>
                </c:pt>
                <c:pt idx="2">
                  <c:v>39.6</c:v>
                </c:pt>
                <c:pt idx="3">
                  <c:v>41.4</c:v>
                </c:pt>
                <c:pt idx="4">
                  <c:v>41</c:v>
                </c:pt>
                <c:pt idx="5">
                  <c:v>41.1</c:v>
                </c:pt>
                <c:pt idx="6">
                  <c:v>40.9</c:v>
                </c:pt>
                <c:pt idx="7">
                  <c:v>41.1</c:v>
                </c:pt>
                <c:pt idx="8">
                  <c:v>41.2</c:v>
                </c:pt>
                <c:pt idx="9">
                  <c:v>41.2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3-41AF-94B5-2DA54F7B2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937328"/>
        <c:axId val="2015937808"/>
      </c:barChart>
      <c:catAx>
        <c:axId val="201593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15937808"/>
        <c:crosses val="autoZero"/>
        <c:auto val="1"/>
        <c:lblAlgn val="ctr"/>
        <c:lblOffset val="100"/>
        <c:noMultiLvlLbl val="1"/>
      </c:catAx>
      <c:valAx>
        <c:axId val="20159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1593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</a:t>
            </a:r>
            <a:r>
              <a:rPr lang="fi-FI" baseline="0"/>
              <a:t> PC C6 : EMPTY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Taul1!$G$119:$G$120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Taul1!$F$121:$F$130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Taul1!$G$121:$G$130</c:f>
              <c:numCache>
                <c:formatCode>General</c:formatCode>
                <c:ptCount val="10"/>
                <c:pt idx="0">
                  <c:v>96.5</c:v>
                </c:pt>
                <c:pt idx="1">
                  <c:v>95</c:v>
                </c:pt>
                <c:pt idx="2">
                  <c:v>120.1</c:v>
                </c:pt>
                <c:pt idx="3">
                  <c:v>120.5</c:v>
                </c:pt>
                <c:pt idx="4">
                  <c:v>120.6</c:v>
                </c:pt>
                <c:pt idx="5">
                  <c:v>119.7</c:v>
                </c:pt>
                <c:pt idx="6">
                  <c:v>94.7</c:v>
                </c:pt>
                <c:pt idx="7">
                  <c:v>53.1</c:v>
                </c:pt>
                <c:pt idx="8">
                  <c:v>30</c:v>
                </c:pt>
                <c:pt idx="9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B-483B-B345-7F99F2A3481D}"/>
            </c:ext>
          </c:extLst>
        </c:ser>
        <c:ser>
          <c:idx val="1"/>
          <c:order val="1"/>
          <c:tx>
            <c:strRef>
              <c:f>Taul1!$K$119:$K$120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Taul1!$J$121:$J$130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Taul1!$K$121:$K$130</c:f>
              <c:numCache>
                <c:formatCode>General</c:formatCode>
                <c:ptCount val="10"/>
                <c:pt idx="0">
                  <c:v>120.3</c:v>
                </c:pt>
                <c:pt idx="1">
                  <c:v>119.9</c:v>
                </c:pt>
                <c:pt idx="2">
                  <c:v>120</c:v>
                </c:pt>
                <c:pt idx="3">
                  <c:v>120.5</c:v>
                </c:pt>
                <c:pt idx="4">
                  <c:v>119.9</c:v>
                </c:pt>
                <c:pt idx="5">
                  <c:v>119.5</c:v>
                </c:pt>
                <c:pt idx="6">
                  <c:v>111.7</c:v>
                </c:pt>
                <c:pt idx="7">
                  <c:v>68.599999999999994</c:v>
                </c:pt>
                <c:pt idx="8">
                  <c:v>40.799999999999997</c:v>
                </c:pt>
                <c:pt idx="9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B-483B-B345-7F99F2A3481D}"/>
            </c:ext>
          </c:extLst>
        </c:ser>
        <c:ser>
          <c:idx val="2"/>
          <c:order val="2"/>
          <c:tx>
            <c:strRef>
              <c:f>Taul1!$O$119:$O$120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Taul1!$N$121:$N$130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Taul1!$O$121:$O$130</c:f>
              <c:numCache>
                <c:formatCode>General</c:formatCode>
                <c:ptCount val="10"/>
                <c:pt idx="0">
                  <c:v>119.2</c:v>
                </c:pt>
                <c:pt idx="1">
                  <c:v>119.8</c:v>
                </c:pt>
                <c:pt idx="2">
                  <c:v>119.8</c:v>
                </c:pt>
                <c:pt idx="3">
                  <c:v>119.9</c:v>
                </c:pt>
                <c:pt idx="4">
                  <c:v>120</c:v>
                </c:pt>
                <c:pt idx="5">
                  <c:v>118.5</c:v>
                </c:pt>
                <c:pt idx="6">
                  <c:v>118.4</c:v>
                </c:pt>
                <c:pt idx="7">
                  <c:v>120.2</c:v>
                </c:pt>
                <c:pt idx="8">
                  <c:v>119.6</c:v>
                </c:pt>
                <c:pt idx="9">
                  <c:v>120.2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B-483B-B345-7F99F2A34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0249232"/>
        <c:axId val="1590249712"/>
      </c:barChart>
      <c:catAx>
        <c:axId val="159024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90249712"/>
        <c:crosses val="autoZero"/>
        <c:auto val="1"/>
        <c:lblAlgn val="ctr"/>
        <c:lblOffset val="100"/>
        <c:noMultiLvlLbl val="1"/>
      </c:catAx>
      <c:valAx>
        <c:axId val="15902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9024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SCHOOL</a:t>
            </a:r>
            <a:r>
              <a:rPr lang="fi-FI" baseline="0"/>
              <a:t> PC C6 : GAME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Taul1!$G$133:$G$134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Taul1!$F$135:$F$144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Taul1!$G$135:$G$144</c:f>
              <c:numCache>
                <c:formatCode>General</c:formatCode>
                <c:ptCount val="10"/>
                <c:pt idx="0">
                  <c:v>38.799999999999997</c:v>
                </c:pt>
                <c:pt idx="1">
                  <c:v>38.799999999999997</c:v>
                </c:pt>
                <c:pt idx="2">
                  <c:v>37.9</c:v>
                </c:pt>
                <c:pt idx="3">
                  <c:v>37.1</c:v>
                </c:pt>
                <c:pt idx="4">
                  <c:v>36.700000000000003</c:v>
                </c:pt>
                <c:pt idx="5">
                  <c:v>34.6</c:v>
                </c:pt>
                <c:pt idx="6">
                  <c:v>30.9</c:v>
                </c:pt>
                <c:pt idx="7">
                  <c:v>24.7</c:v>
                </c:pt>
                <c:pt idx="8">
                  <c:v>17.5</c:v>
                </c:pt>
                <c:pt idx="9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6-4769-BF60-DFB94FFBB5A5}"/>
            </c:ext>
          </c:extLst>
        </c:ser>
        <c:ser>
          <c:idx val="1"/>
          <c:order val="1"/>
          <c:tx>
            <c:strRef>
              <c:f>Taul1!$K$133:$K$134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Taul1!$J$135:$J$144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Taul1!$K$135:$K$144</c:f>
              <c:numCache>
                <c:formatCode>General</c:formatCode>
                <c:ptCount val="10"/>
                <c:pt idx="0">
                  <c:v>38.700000000000003</c:v>
                </c:pt>
                <c:pt idx="1">
                  <c:v>38.299999999999997</c:v>
                </c:pt>
                <c:pt idx="2">
                  <c:v>37.299999999999997</c:v>
                </c:pt>
                <c:pt idx="3">
                  <c:v>37.6</c:v>
                </c:pt>
                <c:pt idx="4">
                  <c:v>36.9</c:v>
                </c:pt>
                <c:pt idx="5">
                  <c:v>35.200000000000003</c:v>
                </c:pt>
                <c:pt idx="6">
                  <c:v>31</c:v>
                </c:pt>
                <c:pt idx="7">
                  <c:v>25.8</c:v>
                </c:pt>
                <c:pt idx="8">
                  <c:v>20.2</c:v>
                </c:pt>
                <c:pt idx="9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6-4769-BF60-DFB94FFBB5A5}"/>
            </c:ext>
          </c:extLst>
        </c:ser>
        <c:ser>
          <c:idx val="2"/>
          <c:order val="2"/>
          <c:tx>
            <c:strRef>
              <c:f>Taul1!$O$133:$O$134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Taul1!$N$135:$N$144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Taul1!$O$135:$O$144</c:f>
              <c:numCache>
                <c:formatCode>General</c:formatCode>
                <c:ptCount val="10"/>
                <c:pt idx="0">
                  <c:v>38.6</c:v>
                </c:pt>
                <c:pt idx="1">
                  <c:v>39.1</c:v>
                </c:pt>
                <c:pt idx="2">
                  <c:v>38.299999999999997</c:v>
                </c:pt>
                <c:pt idx="3">
                  <c:v>38.6</c:v>
                </c:pt>
                <c:pt idx="4">
                  <c:v>38.299999999999997</c:v>
                </c:pt>
                <c:pt idx="5">
                  <c:v>38.5</c:v>
                </c:pt>
                <c:pt idx="6">
                  <c:v>37.5</c:v>
                </c:pt>
                <c:pt idx="7">
                  <c:v>39.9</c:v>
                </c:pt>
                <c:pt idx="8">
                  <c:v>38.9</c:v>
                </c:pt>
                <c:pt idx="9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6-4769-BF60-DFB94FFBB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4404064"/>
        <c:axId val="1944406464"/>
      </c:barChart>
      <c:catAx>
        <c:axId val="19444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944406464"/>
        <c:crosses val="autoZero"/>
        <c:auto val="1"/>
        <c:lblAlgn val="ctr"/>
        <c:lblOffset val="100"/>
        <c:noMultiLvlLbl val="1"/>
      </c:catAx>
      <c:valAx>
        <c:axId val="19444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9444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AVERAGE</a:t>
            </a:r>
            <a:r>
              <a:rPr lang="fi-FI" baseline="0"/>
              <a:t> :  EMPTY SCENE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Taul1!$G$148:$G$149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Taul1!$F$150:$F$159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Taul1!$G$150:$G$159</c:f>
              <c:numCache>
                <c:formatCode>0.0</c:formatCode>
                <c:ptCount val="10"/>
                <c:pt idx="0">
                  <c:v>110.44000000000001</c:v>
                </c:pt>
                <c:pt idx="1">
                  <c:v>112.75999999999999</c:v>
                </c:pt>
                <c:pt idx="2">
                  <c:v>107.94000000000001</c:v>
                </c:pt>
                <c:pt idx="3">
                  <c:v>117.3</c:v>
                </c:pt>
                <c:pt idx="4">
                  <c:v>104.63999999999999</c:v>
                </c:pt>
                <c:pt idx="5">
                  <c:v>112.16000000000001</c:v>
                </c:pt>
                <c:pt idx="6">
                  <c:v>85.28</c:v>
                </c:pt>
                <c:pt idx="7">
                  <c:v>51.059999999999995</c:v>
                </c:pt>
                <c:pt idx="8">
                  <c:v>28.32</c:v>
                </c:pt>
                <c:pt idx="9">
                  <c:v>14.580000000000002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1-4350-9FF2-7C659C6F7354}"/>
            </c:ext>
          </c:extLst>
        </c:ser>
        <c:ser>
          <c:idx val="1"/>
          <c:order val="1"/>
          <c:tx>
            <c:strRef>
              <c:f>Taul1!$K$148:$K$149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Taul1!$J$150:$J$159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Taul1!$K$150:$K$159</c:f>
              <c:numCache>
                <c:formatCode>0.0</c:formatCode>
                <c:ptCount val="10"/>
                <c:pt idx="0">
                  <c:v>108.05999999999999</c:v>
                </c:pt>
                <c:pt idx="1">
                  <c:v>116.92</c:v>
                </c:pt>
                <c:pt idx="2">
                  <c:v>117.2</c:v>
                </c:pt>
                <c:pt idx="3">
                  <c:v>115.48000000000002</c:v>
                </c:pt>
                <c:pt idx="4">
                  <c:v>116.02000000000001</c:v>
                </c:pt>
                <c:pt idx="5">
                  <c:v>109.66</c:v>
                </c:pt>
                <c:pt idx="6">
                  <c:v>95</c:v>
                </c:pt>
                <c:pt idx="7">
                  <c:v>62.220000000000006</c:v>
                </c:pt>
                <c:pt idx="8">
                  <c:v>36.5</c:v>
                </c:pt>
                <c:pt idx="9">
                  <c:v>19.34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1-4350-9FF2-7C659C6F7354}"/>
            </c:ext>
          </c:extLst>
        </c:ser>
        <c:ser>
          <c:idx val="2"/>
          <c:order val="2"/>
          <c:tx>
            <c:strRef>
              <c:f>Taul1!$O$148:$O$149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Taul1!$N$150:$N$159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Taul1!$O$150:$O$159</c:f>
              <c:numCache>
                <c:formatCode>0.0</c:formatCode>
                <c:ptCount val="10"/>
                <c:pt idx="0">
                  <c:v>114.32000000000001</c:v>
                </c:pt>
                <c:pt idx="1">
                  <c:v>107.97999999999999</c:v>
                </c:pt>
                <c:pt idx="2">
                  <c:v>115.1</c:v>
                </c:pt>
                <c:pt idx="3">
                  <c:v>115.62</c:v>
                </c:pt>
                <c:pt idx="4">
                  <c:v>114.17999999999999</c:v>
                </c:pt>
                <c:pt idx="5">
                  <c:v>114.52000000000001</c:v>
                </c:pt>
                <c:pt idx="6">
                  <c:v>113.92</c:v>
                </c:pt>
                <c:pt idx="7">
                  <c:v>115.66000000000001</c:v>
                </c:pt>
                <c:pt idx="8">
                  <c:v>115.88</c:v>
                </c:pt>
                <c:pt idx="9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1-4350-9FF2-7C659C6F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665248"/>
        <c:axId val="355654688"/>
      </c:barChart>
      <c:catAx>
        <c:axId val="35566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55654688"/>
        <c:crosses val="autoZero"/>
        <c:auto val="1"/>
        <c:lblAlgn val="ctr"/>
        <c:lblOffset val="100"/>
        <c:noMultiLvlLbl val="1"/>
      </c:catAx>
      <c:valAx>
        <c:axId val="3556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556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AVEAGE</a:t>
            </a:r>
            <a:r>
              <a:rPr lang="fi-FI" baseline="0"/>
              <a:t> : GAME SCENE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Taul1!$G$162:$G$163</c:f>
              <c:strCache>
                <c:ptCount val="2"/>
                <c:pt idx="0">
                  <c:v>SINGLE</c:v>
                </c:pt>
                <c:pt idx="1">
                  <c:v>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Taul1!$F$164:$F$173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Taul1!$G$164:$G$173</c:f>
              <c:numCache>
                <c:formatCode>0.0</c:formatCode>
                <c:ptCount val="10"/>
                <c:pt idx="0">
                  <c:v>35.660000000000004</c:v>
                </c:pt>
                <c:pt idx="1">
                  <c:v>34.680000000000007</c:v>
                </c:pt>
                <c:pt idx="2">
                  <c:v>35.160000000000004</c:v>
                </c:pt>
                <c:pt idx="3">
                  <c:v>34.659999999999997</c:v>
                </c:pt>
                <c:pt idx="4">
                  <c:v>33.14</c:v>
                </c:pt>
                <c:pt idx="5">
                  <c:v>31.159999999999997</c:v>
                </c:pt>
                <c:pt idx="6">
                  <c:v>28</c:v>
                </c:pt>
                <c:pt idx="7">
                  <c:v>23.300000000000004</c:v>
                </c:pt>
                <c:pt idx="8">
                  <c:v>16.740000000000002</c:v>
                </c:pt>
                <c:pt idx="9">
                  <c:v>10.84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5-462B-9C2D-A741CDD5139F}"/>
            </c:ext>
          </c:extLst>
        </c:ser>
        <c:ser>
          <c:idx val="1"/>
          <c:order val="1"/>
          <c:tx>
            <c:strRef>
              <c:f>Taul1!$K$162:$K$163</c:f>
              <c:strCache>
                <c:ptCount val="2"/>
                <c:pt idx="0">
                  <c:v>MULTI</c:v>
                </c:pt>
                <c:pt idx="1">
                  <c:v>FPS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Taul1!$J$164:$J$173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Taul1!$K$164:$K$173</c:f>
              <c:numCache>
                <c:formatCode>0.0</c:formatCode>
                <c:ptCount val="10"/>
                <c:pt idx="0">
                  <c:v>36.1</c:v>
                </c:pt>
                <c:pt idx="1">
                  <c:v>33.220000000000006</c:v>
                </c:pt>
                <c:pt idx="2">
                  <c:v>34.120000000000005</c:v>
                </c:pt>
                <c:pt idx="3">
                  <c:v>34.22</c:v>
                </c:pt>
                <c:pt idx="4">
                  <c:v>32.86</c:v>
                </c:pt>
                <c:pt idx="5">
                  <c:v>31.620000000000005</c:v>
                </c:pt>
                <c:pt idx="6">
                  <c:v>27.52</c:v>
                </c:pt>
                <c:pt idx="7">
                  <c:v>24.36</c:v>
                </c:pt>
                <c:pt idx="8">
                  <c:v>18.38</c:v>
                </c:pt>
                <c:pt idx="9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5-462B-9C2D-A741CDD5139F}"/>
            </c:ext>
          </c:extLst>
        </c:ser>
        <c:ser>
          <c:idx val="2"/>
          <c:order val="2"/>
          <c:tx>
            <c:strRef>
              <c:f>Taul1!$O$162:$O$163</c:f>
              <c:strCache>
                <c:ptCount val="2"/>
                <c:pt idx="0">
                  <c:v>GPU</c:v>
                </c:pt>
                <c:pt idx="1">
                  <c:v>FPS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Taul1!$N$164:$N$173</c:f>
              <c:numCache>
                <c:formatCode>General</c:formatCode>
                <c:ptCount val="10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  <c:pt idx="7">
                  <c:v>4096</c:v>
                </c:pt>
                <c:pt idx="8">
                  <c:v>8192</c:v>
                </c:pt>
                <c:pt idx="9">
                  <c:v>16384</c:v>
                </c:pt>
              </c:numCache>
            </c:numRef>
          </c:cat>
          <c:val>
            <c:numRef>
              <c:f>Taul1!$O$164:$O$173</c:f>
              <c:numCache>
                <c:formatCode>0.0</c:formatCode>
                <c:ptCount val="10"/>
                <c:pt idx="0">
                  <c:v>35.480000000000004</c:v>
                </c:pt>
                <c:pt idx="1">
                  <c:v>35.14</c:v>
                </c:pt>
                <c:pt idx="2">
                  <c:v>34.44</c:v>
                </c:pt>
                <c:pt idx="3">
                  <c:v>35.700000000000003</c:v>
                </c:pt>
                <c:pt idx="4">
                  <c:v>34.5</c:v>
                </c:pt>
                <c:pt idx="5">
                  <c:v>35.08</c:v>
                </c:pt>
                <c:pt idx="6">
                  <c:v>34.22</c:v>
                </c:pt>
                <c:pt idx="7">
                  <c:v>35.28</c:v>
                </c:pt>
                <c:pt idx="8">
                  <c:v>35.840000000000003</c:v>
                </c:pt>
                <c:pt idx="9">
                  <c:v>35.26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5-462B-9C2D-A741CDD51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924416"/>
        <c:axId val="287929216"/>
      </c:barChart>
      <c:catAx>
        <c:axId val="28792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87929216"/>
        <c:crosses val="autoZero"/>
        <c:auto val="1"/>
        <c:lblAlgn val="ctr"/>
        <c:lblOffset val="100"/>
        <c:noMultiLvlLbl val="1"/>
      </c:catAx>
      <c:valAx>
        <c:axId val="2879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879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750793</xdr:colOff>
      <xdr:row>0</xdr:row>
      <xdr:rowOff>79559</xdr:rowOff>
    </xdr:from>
    <xdr:to>
      <xdr:col>33</xdr:col>
      <xdr:colOff>313764</xdr:colOff>
      <xdr:row>14</xdr:row>
      <xdr:rowOff>145677</xdr:rowOff>
    </xdr:to>
    <xdr:graphicFrame macro="">
      <xdr:nvGraphicFramePr>
        <xdr:cNvPr id="34" name="Kaavio 33">
          <a:extLst>
            <a:ext uri="{FF2B5EF4-FFF2-40B4-BE49-F238E27FC236}">
              <a16:creationId xmlns:a16="http://schemas.microsoft.com/office/drawing/2014/main" id="{14E80FF0-F8C8-487A-CFAD-20C698CF7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750793</xdr:colOff>
      <xdr:row>14</xdr:row>
      <xdr:rowOff>134471</xdr:rowOff>
    </xdr:from>
    <xdr:to>
      <xdr:col>33</xdr:col>
      <xdr:colOff>324971</xdr:colOff>
      <xdr:row>29</xdr:row>
      <xdr:rowOff>100854</xdr:rowOff>
    </xdr:to>
    <xdr:graphicFrame macro="">
      <xdr:nvGraphicFramePr>
        <xdr:cNvPr id="35" name="Kaavio 34">
          <a:extLst>
            <a:ext uri="{FF2B5EF4-FFF2-40B4-BE49-F238E27FC236}">
              <a16:creationId xmlns:a16="http://schemas.microsoft.com/office/drawing/2014/main" id="{4997828F-B6E7-C400-9C8D-68C70819A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750793</xdr:colOff>
      <xdr:row>29</xdr:row>
      <xdr:rowOff>100854</xdr:rowOff>
    </xdr:from>
    <xdr:to>
      <xdr:col>33</xdr:col>
      <xdr:colOff>336176</xdr:colOff>
      <xdr:row>43</xdr:row>
      <xdr:rowOff>112059</xdr:rowOff>
    </xdr:to>
    <xdr:graphicFrame macro="">
      <xdr:nvGraphicFramePr>
        <xdr:cNvPr id="36" name="Kaavio 35">
          <a:extLst>
            <a:ext uri="{FF2B5EF4-FFF2-40B4-BE49-F238E27FC236}">
              <a16:creationId xmlns:a16="http://schemas.microsoft.com/office/drawing/2014/main" id="{51DE9A55-0588-268C-12DC-9461C783D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750793</xdr:colOff>
      <xdr:row>43</xdr:row>
      <xdr:rowOff>113178</xdr:rowOff>
    </xdr:from>
    <xdr:to>
      <xdr:col>33</xdr:col>
      <xdr:colOff>537882</xdr:colOff>
      <xdr:row>58</xdr:row>
      <xdr:rowOff>123264</xdr:rowOff>
    </xdr:to>
    <xdr:graphicFrame macro="">
      <xdr:nvGraphicFramePr>
        <xdr:cNvPr id="37" name="Kaavio 36">
          <a:extLst>
            <a:ext uri="{FF2B5EF4-FFF2-40B4-BE49-F238E27FC236}">
              <a16:creationId xmlns:a16="http://schemas.microsoft.com/office/drawing/2014/main" id="{98033D13-DB12-9567-A3A5-300AA7901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745191</xdr:colOff>
      <xdr:row>58</xdr:row>
      <xdr:rowOff>124385</xdr:rowOff>
    </xdr:from>
    <xdr:to>
      <xdr:col>33</xdr:col>
      <xdr:colOff>515471</xdr:colOff>
      <xdr:row>73</xdr:row>
      <xdr:rowOff>78441</xdr:rowOff>
    </xdr:to>
    <xdr:graphicFrame macro="">
      <xdr:nvGraphicFramePr>
        <xdr:cNvPr id="2" name="Kaavio 1">
          <a:extLst>
            <a:ext uri="{FF2B5EF4-FFF2-40B4-BE49-F238E27FC236}">
              <a16:creationId xmlns:a16="http://schemas.microsoft.com/office/drawing/2014/main" id="{B084D4B9-1EAF-4DE4-7D33-9A7226AFF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745191</xdr:colOff>
      <xdr:row>73</xdr:row>
      <xdr:rowOff>90768</xdr:rowOff>
    </xdr:from>
    <xdr:to>
      <xdr:col>33</xdr:col>
      <xdr:colOff>515471</xdr:colOff>
      <xdr:row>87</xdr:row>
      <xdr:rowOff>179294</xdr:rowOff>
    </xdr:to>
    <xdr:graphicFrame macro="">
      <xdr:nvGraphicFramePr>
        <xdr:cNvPr id="3" name="Kaavio 2">
          <a:extLst>
            <a:ext uri="{FF2B5EF4-FFF2-40B4-BE49-F238E27FC236}">
              <a16:creationId xmlns:a16="http://schemas.microsoft.com/office/drawing/2014/main" id="{B3940DE2-28BD-49D6-0573-0D12C7533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745191</xdr:colOff>
      <xdr:row>88</xdr:row>
      <xdr:rowOff>12325</xdr:rowOff>
    </xdr:from>
    <xdr:to>
      <xdr:col>33</xdr:col>
      <xdr:colOff>526677</xdr:colOff>
      <xdr:row>102</xdr:row>
      <xdr:rowOff>190499</xdr:rowOff>
    </xdr:to>
    <xdr:graphicFrame macro="">
      <xdr:nvGraphicFramePr>
        <xdr:cNvPr id="4" name="Kaavio 3">
          <a:extLst>
            <a:ext uri="{FF2B5EF4-FFF2-40B4-BE49-F238E27FC236}">
              <a16:creationId xmlns:a16="http://schemas.microsoft.com/office/drawing/2014/main" id="{D3536D1D-91C9-3D35-DD8C-4CBFB92F9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745191</xdr:colOff>
      <xdr:row>103</xdr:row>
      <xdr:rowOff>1119</xdr:rowOff>
    </xdr:from>
    <xdr:to>
      <xdr:col>33</xdr:col>
      <xdr:colOff>526677</xdr:colOff>
      <xdr:row>117</xdr:row>
      <xdr:rowOff>33617</xdr:rowOff>
    </xdr:to>
    <xdr:graphicFrame macro="">
      <xdr:nvGraphicFramePr>
        <xdr:cNvPr id="5" name="Kaavio 4">
          <a:extLst>
            <a:ext uri="{FF2B5EF4-FFF2-40B4-BE49-F238E27FC236}">
              <a16:creationId xmlns:a16="http://schemas.microsoft.com/office/drawing/2014/main" id="{11BB500B-D167-D245-244E-2C0A97609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745191</xdr:colOff>
      <xdr:row>117</xdr:row>
      <xdr:rowOff>23532</xdr:rowOff>
    </xdr:from>
    <xdr:to>
      <xdr:col>33</xdr:col>
      <xdr:colOff>515471</xdr:colOff>
      <xdr:row>132</xdr:row>
      <xdr:rowOff>67235</xdr:rowOff>
    </xdr:to>
    <xdr:graphicFrame macro="">
      <xdr:nvGraphicFramePr>
        <xdr:cNvPr id="6" name="Kaavio 5">
          <a:extLst>
            <a:ext uri="{FF2B5EF4-FFF2-40B4-BE49-F238E27FC236}">
              <a16:creationId xmlns:a16="http://schemas.microsoft.com/office/drawing/2014/main" id="{3D24EEDF-7074-22BB-085A-3A318C018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733985</xdr:colOff>
      <xdr:row>132</xdr:row>
      <xdr:rowOff>57150</xdr:rowOff>
    </xdr:from>
    <xdr:to>
      <xdr:col>33</xdr:col>
      <xdr:colOff>515471</xdr:colOff>
      <xdr:row>147</xdr:row>
      <xdr:rowOff>11206</xdr:rowOff>
    </xdr:to>
    <xdr:graphicFrame macro="">
      <xdr:nvGraphicFramePr>
        <xdr:cNvPr id="7" name="Kaavio 6">
          <a:extLst>
            <a:ext uri="{FF2B5EF4-FFF2-40B4-BE49-F238E27FC236}">
              <a16:creationId xmlns:a16="http://schemas.microsoft.com/office/drawing/2014/main" id="{27E8DE94-AAB4-B218-CA7E-34F2701C9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733985</xdr:colOff>
      <xdr:row>147</xdr:row>
      <xdr:rowOff>23530</xdr:rowOff>
    </xdr:from>
    <xdr:to>
      <xdr:col>33</xdr:col>
      <xdr:colOff>515471</xdr:colOff>
      <xdr:row>161</xdr:row>
      <xdr:rowOff>67234</xdr:rowOff>
    </xdr:to>
    <xdr:graphicFrame macro="">
      <xdr:nvGraphicFramePr>
        <xdr:cNvPr id="8" name="Kaavio 7">
          <a:extLst>
            <a:ext uri="{FF2B5EF4-FFF2-40B4-BE49-F238E27FC236}">
              <a16:creationId xmlns:a16="http://schemas.microsoft.com/office/drawing/2014/main" id="{E15E5CB7-5179-B38F-A20A-D47766CA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733985</xdr:colOff>
      <xdr:row>161</xdr:row>
      <xdr:rowOff>68355</xdr:rowOff>
    </xdr:from>
    <xdr:to>
      <xdr:col>33</xdr:col>
      <xdr:colOff>504264</xdr:colOff>
      <xdr:row>176</xdr:row>
      <xdr:rowOff>112060</xdr:rowOff>
    </xdr:to>
    <xdr:graphicFrame macro="">
      <xdr:nvGraphicFramePr>
        <xdr:cNvPr id="9" name="Kaavio 8">
          <a:extLst>
            <a:ext uri="{FF2B5EF4-FFF2-40B4-BE49-F238E27FC236}">
              <a16:creationId xmlns:a16="http://schemas.microsoft.com/office/drawing/2014/main" id="{142E8268-6A0A-8B17-F37E-94C6D7CC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ore.steampowered.com/app/3321460/Crimson_Desert/" TargetMode="External"/><Relationship Id="rId1" Type="http://schemas.openxmlformats.org/officeDocument/2006/relationships/hyperlink" Target="https://store.steampowered.com/app/3321460/Crimson_Desert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74"/>
  <sheetViews>
    <sheetView tabSelected="1" topLeftCell="A142" zoomScaleNormal="100" workbookViewId="0">
      <selection activeCell="M28" sqref="M28"/>
    </sheetView>
  </sheetViews>
  <sheetFormatPr defaultRowHeight="15" x14ac:dyDescent="0.25"/>
  <cols>
    <col min="2" max="2" width="12.5703125" bestFit="1" customWidth="1"/>
    <col min="3" max="3" width="7" bestFit="1" customWidth="1"/>
    <col min="4" max="4" width="16.42578125" bestFit="1" customWidth="1"/>
    <col min="5" max="5" width="13" bestFit="1" customWidth="1"/>
    <col min="6" max="6" width="12.5703125" bestFit="1" customWidth="1"/>
    <col min="7" max="7" width="7" bestFit="1" customWidth="1"/>
    <col min="8" max="8" width="16.42578125" bestFit="1" customWidth="1"/>
    <col min="9" max="9" width="12.85546875" bestFit="1" customWidth="1"/>
    <col min="10" max="10" width="12.5703125" bestFit="1" customWidth="1"/>
    <col min="11" max="11" width="6" bestFit="1" customWidth="1"/>
    <col min="12" max="12" width="16.42578125" bestFit="1" customWidth="1"/>
    <col min="13" max="13" width="12.85546875" bestFit="1" customWidth="1"/>
    <col min="14" max="14" width="6.5703125" bestFit="1" customWidth="1"/>
    <col min="15" max="15" width="8" bestFit="1" customWidth="1"/>
    <col min="16" max="16" width="16.42578125" bestFit="1" customWidth="1"/>
    <col min="17" max="17" width="12.85546875" bestFit="1" customWidth="1"/>
    <col min="20" max="20" width="13" bestFit="1" customWidth="1"/>
    <col min="21" max="21" width="12.7109375" bestFit="1" customWidth="1"/>
    <col min="32" max="32" width="12.28515625" bestFit="1" customWidth="1"/>
    <col min="366" max="366" width="13" customWidth="1"/>
    <col min="380" max="380" width="13" customWidth="1"/>
    <col min="399" max="399" width="12.7109375" customWidth="1"/>
  </cols>
  <sheetData>
    <row r="1" spans="2:21" ht="15.75" thickBot="1" x14ac:dyDescent="0.3"/>
    <row r="2" spans="2:21" ht="24" thickBot="1" x14ac:dyDescent="0.4">
      <c r="B2" s="37" t="s">
        <v>4</v>
      </c>
      <c r="C2" s="38"/>
      <c r="D2" s="39"/>
      <c r="E2" s="45" t="s">
        <v>18</v>
      </c>
      <c r="F2" s="46"/>
      <c r="G2" s="46"/>
      <c r="H2" s="46"/>
      <c r="I2" s="47"/>
      <c r="U2" s="5"/>
    </row>
    <row r="3" spans="2:21" ht="15.75" thickBot="1" x14ac:dyDescent="0.3">
      <c r="B3" s="19"/>
      <c r="C3" s="9"/>
      <c r="D3" s="9"/>
      <c r="E3" s="9"/>
      <c r="F3" s="43" t="s">
        <v>7</v>
      </c>
      <c r="G3" s="44"/>
      <c r="H3" s="14" t="s">
        <v>9</v>
      </c>
      <c r="I3" s="9"/>
      <c r="J3" s="43" t="s">
        <v>8</v>
      </c>
      <c r="K3" s="44"/>
      <c r="L3" s="14" t="s">
        <v>9</v>
      </c>
      <c r="M3" s="9"/>
      <c r="N3" s="12" t="s">
        <v>2</v>
      </c>
      <c r="O3" s="13"/>
      <c r="P3" s="14" t="s">
        <v>9</v>
      </c>
    </row>
    <row r="4" spans="2:21" ht="15.75" thickBot="1" x14ac:dyDescent="0.3">
      <c r="B4" s="8"/>
      <c r="C4" s="6"/>
      <c r="D4" s="6"/>
      <c r="E4" s="6"/>
      <c r="F4" s="4" t="s">
        <v>3</v>
      </c>
      <c r="G4" s="4" t="s">
        <v>1</v>
      </c>
      <c r="H4" s="4" t="s">
        <v>17</v>
      </c>
      <c r="I4" s="6"/>
      <c r="J4" s="4" t="s">
        <v>3</v>
      </c>
      <c r="K4" s="4" t="s">
        <v>1</v>
      </c>
      <c r="L4" s="4" t="s">
        <v>17</v>
      </c>
      <c r="M4" s="6"/>
      <c r="N4" s="4" t="s">
        <v>3</v>
      </c>
      <c r="O4" s="4" t="s">
        <v>1</v>
      </c>
      <c r="P4" s="4" t="s">
        <v>17</v>
      </c>
    </row>
    <row r="5" spans="2:21" ht="15.75" thickBot="1" x14ac:dyDescent="0.3">
      <c r="B5" s="43" t="s">
        <v>9</v>
      </c>
      <c r="C5" s="44"/>
      <c r="D5" s="14" t="s">
        <v>9</v>
      </c>
      <c r="E5" s="6"/>
      <c r="F5" s="1">
        <f>16*2</f>
        <v>32</v>
      </c>
      <c r="G5" s="68">
        <v>119.1</v>
      </c>
      <c r="H5" s="25">
        <f t="shared" ref="H5:H14" si="0">1/G5</f>
        <v>8.3963056255247689E-3</v>
      </c>
      <c r="I5" s="6"/>
      <c r="J5" s="1">
        <f>16*2</f>
        <v>32</v>
      </c>
      <c r="K5" s="68">
        <v>119.6</v>
      </c>
      <c r="L5" s="25">
        <f t="shared" ref="L5:L14" si="1">1/K5</f>
        <v>8.3612040133779261E-3</v>
      </c>
      <c r="M5" s="6"/>
      <c r="N5" s="1">
        <f>16*2</f>
        <v>32</v>
      </c>
      <c r="O5" s="68">
        <v>121</v>
      </c>
      <c r="P5" s="25">
        <f t="shared" ref="P5:P14" si="2">1/O5</f>
        <v>8.2644628099173556E-3</v>
      </c>
    </row>
    <row r="6" spans="2:21" ht="15.75" thickBot="1" x14ac:dyDescent="0.3">
      <c r="B6" s="4" t="s">
        <v>3</v>
      </c>
      <c r="C6" s="4" t="s">
        <v>1</v>
      </c>
      <c r="D6" s="4" t="s">
        <v>17</v>
      </c>
      <c r="E6" s="6"/>
      <c r="F6" s="1">
        <f t="shared" ref="F6:F14" si="3">F5*2</f>
        <v>64</v>
      </c>
      <c r="G6" s="68">
        <v>120.3</v>
      </c>
      <c r="H6" s="25">
        <f t="shared" si="0"/>
        <v>8.3125519534497094E-3</v>
      </c>
      <c r="I6" s="6"/>
      <c r="J6" s="1">
        <f t="shared" ref="J6:J14" si="4">J5*2</f>
        <v>64</v>
      </c>
      <c r="K6" s="68">
        <v>121</v>
      </c>
      <c r="L6" s="25">
        <f t="shared" si="1"/>
        <v>8.2644628099173556E-3</v>
      </c>
      <c r="M6" s="6"/>
      <c r="N6" s="1">
        <f t="shared" ref="N6:N14" si="5">N5*2</f>
        <v>64</v>
      </c>
      <c r="O6" s="68">
        <v>120.5</v>
      </c>
      <c r="P6" s="25">
        <f t="shared" si="2"/>
        <v>8.2987551867219917E-3</v>
      </c>
    </row>
    <row r="7" spans="2:21" ht="15.75" thickBot="1" x14ac:dyDescent="0.3">
      <c r="B7" s="15" t="s">
        <v>11</v>
      </c>
      <c r="C7" s="16">
        <v>120.1</v>
      </c>
      <c r="D7" s="27">
        <f>1/C7</f>
        <v>8.3263946711074101E-3</v>
      </c>
      <c r="E7" s="6"/>
      <c r="F7" s="1">
        <f t="shared" si="3"/>
        <v>128</v>
      </c>
      <c r="G7" s="68">
        <v>120.2</v>
      </c>
      <c r="H7" s="25">
        <f t="shared" si="0"/>
        <v>8.3194675540765387E-3</v>
      </c>
      <c r="I7" s="6"/>
      <c r="J7" s="1">
        <f t="shared" si="4"/>
        <v>128</v>
      </c>
      <c r="K7" s="68">
        <v>121</v>
      </c>
      <c r="L7" s="25">
        <f t="shared" si="1"/>
        <v>8.2644628099173556E-3</v>
      </c>
      <c r="M7" s="6"/>
      <c r="N7" s="1">
        <f t="shared" si="5"/>
        <v>128</v>
      </c>
      <c r="O7" s="68">
        <v>120.4</v>
      </c>
      <c r="P7" s="25">
        <f t="shared" si="2"/>
        <v>8.3056478405315604E-3</v>
      </c>
    </row>
    <row r="8" spans="2:21" ht="15.75" thickBot="1" x14ac:dyDescent="0.3">
      <c r="B8" s="8"/>
      <c r="C8" s="6"/>
      <c r="D8" s="6"/>
      <c r="E8" s="6"/>
      <c r="F8" s="1">
        <f t="shared" si="3"/>
        <v>256</v>
      </c>
      <c r="G8" s="68">
        <v>119.8</v>
      </c>
      <c r="H8" s="25">
        <f t="shared" si="0"/>
        <v>8.3472454090150246E-3</v>
      </c>
      <c r="I8" s="6"/>
      <c r="J8" s="1">
        <f t="shared" si="4"/>
        <v>256</v>
      </c>
      <c r="K8" s="68">
        <v>120.7</v>
      </c>
      <c r="L8" s="25">
        <f t="shared" si="1"/>
        <v>8.2850041425020712E-3</v>
      </c>
      <c r="M8" s="6"/>
      <c r="N8" s="1">
        <f t="shared" si="5"/>
        <v>256</v>
      </c>
      <c r="O8" s="68">
        <v>120.8</v>
      </c>
      <c r="P8" s="25">
        <f t="shared" si="2"/>
        <v>8.2781456953642391E-3</v>
      </c>
    </row>
    <row r="9" spans="2:21" ht="15.75" thickBot="1" x14ac:dyDescent="0.3">
      <c r="B9" s="43" t="s">
        <v>9</v>
      </c>
      <c r="C9" s="44"/>
      <c r="D9" s="14" t="s">
        <v>10</v>
      </c>
      <c r="E9" s="6"/>
      <c r="F9" s="1">
        <f t="shared" si="3"/>
        <v>512</v>
      </c>
      <c r="G9" s="68">
        <v>121.2</v>
      </c>
      <c r="H9" s="25">
        <f t="shared" si="0"/>
        <v>8.2508250825082501E-3</v>
      </c>
      <c r="I9" s="6"/>
      <c r="J9" s="1">
        <f t="shared" si="4"/>
        <v>512</v>
      </c>
      <c r="K9" s="68">
        <v>120.8</v>
      </c>
      <c r="L9" s="25">
        <f t="shared" si="1"/>
        <v>8.2781456953642391E-3</v>
      </c>
      <c r="M9" s="6"/>
      <c r="N9" s="1">
        <f t="shared" si="5"/>
        <v>512</v>
      </c>
      <c r="O9" s="68">
        <v>120.5</v>
      </c>
      <c r="P9" s="25">
        <f t="shared" si="2"/>
        <v>8.2987551867219917E-3</v>
      </c>
    </row>
    <row r="10" spans="2:21" ht="15.75" thickBot="1" x14ac:dyDescent="0.3">
      <c r="B10" s="4" t="s">
        <v>3</v>
      </c>
      <c r="C10" s="4" t="s">
        <v>1</v>
      </c>
      <c r="D10" s="4" t="s">
        <v>17</v>
      </c>
      <c r="E10" s="6"/>
      <c r="F10" s="1">
        <f t="shared" si="3"/>
        <v>1024</v>
      </c>
      <c r="G10" s="68">
        <v>111.5</v>
      </c>
      <c r="H10" s="25">
        <f t="shared" si="0"/>
        <v>8.9686098654708519E-3</v>
      </c>
      <c r="I10" s="6"/>
      <c r="J10" s="1">
        <f t="shared" si="4"/>
        <v>1024</v>
      </c>
      <c r="K10" s="68">
        <v>113.4</v>
      </c>
      <c r="L10" s="25">
        <f t="shared" si="1"/>
        <v>8.8183421516754845E-3</v>
      </c>
      <c r="M10" s="6"/>
      <c r="N10" s="1">
        <f t="shared" si="5"/>
        <v>1024</v>
      </c>
      <c r="O10" s="68">
        <v>120.8</v>
      </c>
      <c r="P10" s="25">
        <f t="shared" si="2"/>
        <v>8.2781456953642391E-3</v>
      </c>
    </row>
    <row r="11" spans="2:21" ht="15.75" thickBot="1" x14ac:dyDescent="0.3">
      <c r="B11" s="15" t="s">
        <v>11</v>
      </c>
      <c r="C11" s="16">
        <v>33.6</v>
      </c>
      <c r="D11" s="27">
        <f>1/C11</f>
        <v>2.976190476190476E-2</v>
      </c>
      <c r="E11" s="6"/>
      <c r="F11" s="1">
        <f t="shared" si="3"/>
        <v>2048</v>
      </c>
      <c r="G11" s="68">
        <v>75.3</v>
      </c>
      <c r="H11" s="25">
        <f t="shared" si="0"/>
        <v>1.3280212483399735E-2</v>
      </c>
      <c r="I11" s="6"/>
      <c r="J11" s="1">
        <f t="shared" si="4"/>
        <v>2048</v>
      </c>
      <c r="K11" s="68">
        <v>80.8</v>
      </c>
      <c r="L11" s="25">
        <f t="shared" si="1"/>
        <v>1.2376237623762377E-2</v>
      </c>
      <c r="M11" s="6"/>
      <c r="N11" s="1">
        <f t="shared" si="5"/>
        <v>2048</v>
      </c>
      <c r="O11" s="68">
        <v>120.7</v>
      </c>
      <c r="P11" s="25">
        <f t="shared" si="2"/>
        <v>8.2850041425020712E-3</v>
      </c>
    </row>
    <row r="12" spans="2:21" x14ac:dyDescent="0.25">
      <c r="B12" s="8"/>
      <c r="C12" s="6"/>
      <c r="D12" s="6"/>
      <c r="E12" s="6"/>
      <c r="F12" s="1">
        <f t="shared" si="3"/>
        <v>4096</v>
      </c>
      <c r="G12" s="68">
        <v>46.7</v>
      </c>
      <c r="H12" s="25">
        <f t="shared" si="0"/>
        <v>2.1413276231263382E-2</v>
      </c>
      <c r="I12" s="6"/>
      <c r="J12" s="1">
        <f t="shared" si="4"/>
        <v>4096</v>
      </c>
      <c r="K12" s="68">
        <v>53.2</v>
      </c>
      <c r="L12" s="25">
        <f t="shared" si="1"/>
        <v>1.8796992481203006E-2</v>
      </c>
      <c r="M12" s="6"/>
      <c r="N12" s="1">
        <f t="shared" si="5"/>
        <v>4096</v>
      </c>
      <c r="O12" s="68">
        <v>120.7</v>
      </c>
      <c r="P12" s="25">
        <f t="shared" si="2"/>
        <v>8.2850041425020712E-3</v>
      </c>
    </row>
    <row r="13" spans="2:21" x14ac:dyDescent="0.25">
      <c r="B13" s="8"/>
      <c r="C13" s="6"/>
      <c r="D13" s="6"/>
      <c r="E13" s="6"/>
      <c r="F13" s="1">
        <f t="shared" si="3"/>
        <v>8192</v>
      </c>
      <c r="G13" s="68">
        <v>25.4</v>
      </c>
      <c r="H13" s="25">
        <f t="shared" si="0"/>
        <v>3.937007874015748E-2</v>
      </c>
      <c r="I13" s="6"/>
      <c r="J13" s="1">
        <f t="shared" si="4"/>
        <v>8192</v>
      </c>
      <c r="K13" s="68">
        <v>32.200000000000003</v>
      </c>
      <c r="L13" s="25">
        <f t="shared" si="1"/>
        <v>3.1055900621118009E-2</v>
      </c>
      <c r="M13" s="6"/>
      <c r="N13" s="1">
        <f t="shared" si="5"/>
        <v>8192</v>
      </c>
      <c r="O13" s="68">
        <v>121.1</v>
      </c>
      <c r="P13" s="25">
        <f t="shared" si="2"/>
        <v>8.2576383154417832E-3</v>
      </c>
    </row>
    <row r="14" spans="2:21" ht="15.75" thickBot="1" x14ac:dyDescent="0.3">
      <c r="B14" s="8"/>
      <c r="C14" s="6"/>
      <c r="D14" s="6"/>
      <c r="E14" s="6"/>
      <c r="F14" s="2">
        <f t="shared" si="3"/>
        <v>16384</v>
      </c>
      <c r="G14" s="68">
        <v>13</v>
      </c>
      <c r="H14" s="25">
        <f t="shared" si="0"/>
        <v>7.6923076923076927E-2</v>
      </c>
      <c r="I14" s="6"/>
      <c r="J14" s="2">
        <f t="shared" si="4"/>
        <v>16384</v>
      </c>
      <c r="K14" s="68">
        <v>18</v>
      </c>
      <c r="L14" s="25">
        <f t="shared" si="1"/>
        <v>5.5555555555555552E-2</v>
      </c>
      <c r="M14" s="6"/>
      <c r="N14" s="2">
        <f t="shared" si="5"/>
        <v>16384</v>
      </c>
      <c r="O14" s="68">
        <v>121</v>
      </c>
      <c r="P14" s="25">
        <f t="shared" si="2"/>
        <v>8.2644628099173556E-3</v>
      </c>
    </row>
    <row r="15" spans="2:21" ht="15.75" thickBot="1" x14ac:dyDescent="0.3">
      <c r="B15" s="8"/>
      <c r="C15" s="6"/>
      <c r="D15" s="6"/>
      <c r="E15" s="6"/>
      <c r="F15" s="3" t="s">
        <v>0</v>
      </c>
      <c r="G15" s="4">
        <f>AVERAGE(G5:G14)</f>
        <v>87.25</v>
      </c>
      <c r="H15" s="26">
        <f>AVERAGE(H5:H14)</f>
        <v>2.0158164986794267E-2</v>
      </c>
      <c r="I15" s="6"/>
      <c r="J15" s="3" t="s">
        <v>0</v>
      </c>
      <c r="K15" s="4">
        <f>AVERAGE(K5:K14)</f>
        <v>90.070000000000007</v>
      </c>
      <c r="L15" s="26">
        <f>AVERAGE(L5:L14)</f>
        <v>1.6805630790439337E-2</v>
      </c>
      <c r="M15" s="6"/>
      <c r="N15" s="3" t="s">
        <v>0</v>
      </c>
      <c r="O15" s="4">
        <f>AVERAGE(O5:O14)</f>
        <v>120.75</v>
      </c>
      <c r="P15" s="26">
        <f>AVERAGE(P5:P14)</f>
        <v>8.281602182498465E-3</v>
      </c>
    </row>
    <row r="16" spans="2:21" ht="24" thickBot="1" x14ac:dyDescent="0.4">
      <c r="B16" s="64" t="s">
        <v>43</v>
      </c>
      <c r="C16" s="65"/>
      <c r="D16" s="6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spans="2:16" ht="15.75" thickBot="1" x14ac:dyDescent="0.3">
      <c r="B17" s="55" t="s">
        <v>21</v>
      </c>
      <c r="C17" s="56"/>
      <c r="D17" s="57" t="s">
        <v>22</v>
      </c>
      <c r="E17" s="6"/>
      <c r="F17" s="43" t="s">
        <v>7</v>
      </c>
      <c r="G17" s="44"/>
      <c r="H17" s="14" t="s">
        <v>10</v>
      </c>
      <c r="I17" s="6"/>
      <c r="J17" s="43" t="s">
        <v>8</v>
      </c>
      <c r="K17" s="44"/>
      <c r="L17" s="14" t="s">
        <v>10</v>
      </c>
      <c r="M17" s="6"/>
      <c r="N17" s="43" t="s">
        <v>2</v>
      </c>
      <c r="O17" s="44"/>
      <c r="P17" s="14" t="s">
        <v>10</v>
      </c>
    </row>
    <row r="18" spans="2:16" ht="15.75" thickBot="1" x14ac:dyDescent="0.3">
      <c r="B18" s="58" t="s">
        <v>48</v>
      </c>
      <c r="C18" s="59"/>
      <c r="D18" s="67">
        <v>12</v>
      </c>
      <c r="E18" s="6"/>
      <c r="F18" s="4" t="s">
        <v>3</v>
      </c>
      <c r="G18" s="4" t="s">
        <v>1</v>
      </c>
      <c r="H18" s="4" t="s">
        <v>17</v>
      </c>
      <c r="I18" s="6"/>
      <c r="J18" s="4" t="s">
        <v>3</v>
      </c>
      <c r="K18" s="4" t="s">
        <v>1</v>
      </c>
      <c r="L18" s="4" t="s">
        <v>17</v>
      </c>
      <c r="M18" s="6"/>
      <c r="N18" s="4" t="s">
        <v>3</v>
      </c>
      <c r="O18" s="4" t="s">
        <v>1</v>
      </c>
      <c r="P18" s="4" t="s">
        <v>17</v>
      </c>
    </row>
    <row r="19" spans="2:16" ht="15.75" thickBot="1" x14ac:dyDescent="0.3">
      <c r="B19" s="51" t="s">
        <v>49</v>
      </c>
      <c r="C19" s="52"/>
      <c r="D19" s="54">
        <v>24</v>
      </c>
      <c r="E19" s="6"/>
      <c r="F19" s="1">
        <f>16*2</f>
        <v>32</v>
      </c>
      <c r="G19" s="68">
        <v>32.5</v>
      </c>
      <c r="H19" s="25">
        <f t="shared" ref="H19:H28" si="6">1/G19</f>
        <v>3.0769230769230771E-2</v>
      </c>
      <c r="I19" s="6"/>
      <c r="J19" s="1">
        <f>16*2</f>
        <v>32</v>
      </c>
      <c r="K19" s="68">
        <v>32.799999999999997</v>
      </c>
      <c r="L19" s="25">
        <f t="shared" ref="L19:L28" si="7">1/K19</f>
        <v>3.0487804878048783E-2</v>
      </c>
      <c r="M19" s="6"/>
      <c r="N19" s="1">
        <f>16*2</f>
        <v>32</v>
      </c>
      <c r="O19" s="68">
        <v>33.200000000000003</v>
      </c>
      <c r="P19" s="25">
        <f t="shared" ref="P19:P28" si="8">1/O19</f>
        <v>3.012048192771084E-2</v>
      </c>
    </row>
    <row r="20" spans="2:16" ht="15.75" thickBot="1" x14ac:dyDescent="0.3">
      <c r="B20" s="51" t="s">
        <v>50</v>
      </c>
      <c r="C20" s="52"/>
      <c r="D20" s="54" t="s">
        <v>24</v>
      </c>
      <c r="E20" s="6"/>
      <c r="F20" s="1">
        <f t="shared" ref="F20:F28" si="9">F19*2</f>
        <v>64</v>
      </c>
      <c r="G20" s="68">
        <v>32.5</v>
      </c>
      <c r="H20" s="25">
        <f t="shared" si="6"/>
        <v>3.0769230769230771E-2</v>
      </c>
      <c r="I20" s="6"/>
      <c r="J20" s="1">
        <f t="shared" ref="J20:J28" si="10">J19*2</f>
        <v>64</v>
      </c>
      <c r="K20" s="68">
        <v>33.200000000000003</v>
      </c>
      <c r="L20" s="25">
        <f t="shared" si="7"/>
        <v>3.012048192771084E-2</v>
      </c>
      <c r="M20" s="6"/>
      <c r="N20" s="1">
        <f t="shared" ref="N20:N28" si="11">N19*2</f>
        <v>64</v>
      </c>
      <c r="O20" s="68">
        <v>32.9</v>
      </c>
      <c r="P20" s="25">
        <f t="shared" si="8"/>
        <v>3.0395136778115502E-2</v>
      </c>
    </row>
    <row r="21" spans="2:16" ht="15.75" thickBot="1" x14ac:dyDescent="0.3">
      <c r="B21" s="51" t="s">
        <v>51</v>
      </c>
      <c r="C21" s="52"/>
      <c r="D21" s="54" t="s">
        <v>23</v>
      </c>
      <c r="E21" s="6"/>
      <c r="F21" s="1">
        <f t="shared" si="9"/>
        <v>128</v>
      </c>
      <c r="G21" s="68">
        <v>32.4</v>
      </c>
      <c r="H21" s="25">
        <f t="shared" si="6"/>
        <v>3.0864197530864199E-2</v>
      </c>
      <c r="I21" s="6"/>
      <c r="J21" s="1">
        <f t="shared" si="10"/>
        <v>128</v>
      </c>
      <c r="K21" s="68">
        <v>32.799999999999997</v>
      </c>
      <c r="L21" s="25">
        <f t="shared" si="7"/>
        <v>3.0487804878048783E-2</v>
      </c>
      <c r="M21" s="6"/>
      <c r="N21" s="1">
        <f t="shared" si="11"/>
        <v>128</v>
      </c>
      <c r="O21" s="68">
        <v>33</v>
      </c>
      <c r="P21" s="25">
        <f t="shared" si="8"/>
        <v>3.0303030303030304E-2</v>
      </c>
    </row>
    <row r="22" spans="2:16" ht="15.75" thickBot="1" x14ac:dyDescent="0.3">
      <c r="B22" s="8"/>
      <c r="C22" s="6"/>
      <c r="D22" s="6"/>
      <c r="E22" s="6"/>
      <c r="F22" s="1">
        <f t="shared" si="9"/>
        <v>256</v>
      </c>
      <c r="G22" s="68">
        <v>31.6</v>
      </c>
      <c r="H22" s="25">
        <f t="shared" si="6"/>
        <v>3.164556962025316E-2</v>
      </c>
      <c r="I22" s="6"/>
      <c r="J22" s="1">
        <f t="shared" si="10"/>
        <v>256</v>
      </c>
      <c r="K22" s="68">
        <v>31.5</v>
      </c>
      <c r="L22" s="25">
        <f t="shared" si="7"/>
        <v>3.1746031746031744E-2</v>
      </c>
      <c r="M22" s="6"/>
      <c r="N22" s="1">
        <f t="shared" si="11"/>
        <v>256</v>
      </c>
      <c r="O22" s="68">
        <v>33.799999999999997</v>
      </c>
      <c r="P22" s="25">
        <f t="shared" si="8"/>
        <v>2.9585798816568049E-2</v>
      </c>
    </row>
    <row r="23" spans="2:16" ht="24" thickBot="1" x14ac:dyDescent="0.4">
      <c r="B23" s="64" t="s">
        <v>42</v>
      </c>
      <c r="C23" s="65"/>
      <c r="D23" s="66"/>
      <c r="E23" s="6"/>
      <c r="F23" s="1">
        <f t="shared" si="9"/>
        <v>512</v>
      </c>
      <c r="G23" s="68">
        <v>31</v>
      </c>
      <c r="H23" s="25">
        <f t="shared" si="6"/>
        <v>3.2258064516129031E-2</v>
      </c>
      <c r="I23" s="6"/>
      <c r="J23" s="1">
        <f t="shared" si="10"/>
        <v>512</v>
      </c>
      <c r="K23" s="68">
        <v>31</v>
      </c>
      <c r="L23" s="25">
        <f t="shared" si="7"/>
        <v>3.2258064516129031E-2</v>
      </c>
      <c r="M23" s="6"/>
      <c r="N23" s="1">
        <f t="shared" si="11"/>
        <v>512</v>
      </c>
      <c r="O23" s="68">
        <v>33.299999999999997</v>
      </c>
      <c r="P23" s="25">
        <f t="shared" si="8"/>
        <v>3.0030030030030033E-2</v>
      </c>
    </row>
    <row r="24" spans="2:16" ht="15.75" thickBot="1" x14ac:dyDescent="0.3">
      <c r="B24" s="55" t="s">
        <v>21</v>
      </c>
      <c r="C24" s="56"/>
      <c r="D24" s="57" t="s">
        <v>22</v>
      </c>
      <c r="E24" s="6"/>
      <c r="F24" s="1">
        <f t="shared" si="9"/>
        <v>1024</v>
      </c>
      <c r="G24" s="68">
        <v>28.8</v>
      </c>
      <c r="H24" s="25">
        <f t="shared" si="6"/>
        <v>3.4722222222222224E-2</v>
      </c>
      <c r="I24" s="6"/>
      <c r="J24" s="1">
        <f t="shared" si="10"/>
        <v>1024</v>
      </c>
      <c r="K24" s="68">
        <v>29.2</v>
      </c>
      <c r="L24" s="25">
        <f t="shared" si="7"/>
        <v>3.4246575342465752E-2</v>
      </c>
      <c r="M24" s="6"/>
      <c r="N24" s="1">
        <f t="shared" si="11"/>
        <v>1024</v>
      </c>
      <c r="O24" s="68">
        <v>33</v>
      </c>
      <c r="P24" s="25">
        <f t="shared" si="8"/>
        <v>3.0303030303030304E-2</v>
      </c>
    </row>
    <row r="25" spans="2:16" ht="15.75" thickBot="1" x14ac:dyDescent="0.3">
      <c r="B25" s="58" t="s">
        <v>34</v>
      </c>
      <c r="C25" s="59"/>
      <c r="D25" s="60">
        <v>64</v>
      </c>
      <c r="E25" s="6"/>
      <c r="F25" s="1">
        <f t="shared" si="9"/>
        <v>2048</v>
      </c>
      <c r="G25" s="68">
        <v>26</v>
      </c>
      <c r="H25" s="25">
        <f t="shared" si="6"/>
        <v>3.8461538461538464E-2</v>
      </c>
      <c r="I25" s="6"/>
      <c r="J25" s="1">
        <f t="shared" si="10"/>
        <v>2048</v>
      </c>
      <c r="K25" s="68">
        <v>25.8</v>
      </c>
      <c r="L25" s="25">
        <f t="shared" si="7"/>
        <v>3.875968992248062E-2</v>
      </c>
      <c r="M25" s="6"/>
      <c r="N25" s="1">
        <f t="shared" si="11"/>
        <v>2048</v>
      </c>
      <c r="O25" s="68">
        <v>33.700000000000003</v>
      </c>
      <c r="P25" s="25">
        <f t="shared" si="8"/>
        <v>2.9673590504451036E-2</v>
      </c>
    </row>
    <row r="26" spans="2:16" ht="15.75" thickBot="1" x14ac:dyDescent="0.3">
      <c r="B26" s="51" t="s">
        <v>50</v>
      </c>
      <c r="C26" s="52"/>
      <c r="D26" s="54" t="s">
        <v>25</v>
      </c>
      <c r="E26" s="6"/>
      <c r="F26" s="1">
        <f t="shared" si="9"/>
        <v>4096</v>
      </c>
      <c r="G26" s="68">
        <v>21.6</v>
      </c>
      <c r="H26" s="25">
        <f t="shared" si="6"/>
        <v>4.6296296296296294E-2</v>
      </c>
      <c r="I26" s="6"/>
      <c r="J26" s="1">
        <f t="shared" si="10"/>
        <v>4096</v>
      </c>
      <c r="K26" s="68">
        <v>23.4</v>
      </c>
      <c r="L26" s="25">
        <f t="shared" si="7"/>
        <v>4.2735042735042736E-2</v>
      </c>
      <c r="M26" s="6"/>
      <c r="N26" s="1">
        <f t="shared" si="11"/>
        <v>4096</v>
      </c>
      <c r="O26" s="68">
        <v>33.5</v>
      </c>
      <c r="P26" s="25">
        <f t="shared" si="8"/>
        <v>2.9850746268656716E-2</v>
      </c>
    </row>
    <row r="27" spans="2:16" ht="15.75" thickBot="1" x14ac:dyDescent="0.3">
      <c r="B27" s="51" t="s">
        <v>52</v>
      </c>
      <c r="C27" s="52"/>
      <c r="D27" s="54" t="s">
        <v>26</v>
      </c>
      <c r="E27" s="6"/>
      <c r="F27" s="1">
        <f t="shared" si="9"/>
        <v>8192</v>
      </c>
      <c r="G27" s="68">
        <v>14.9</v>
      </c>
      <c r="H27" s="25">
        <f t="shared" si="6"/>
        <v>6.7114093959731544E-2</v>
      </c>
      <c r="I27" s="6"/>
      <c r="J27" s="1">
        <f t="shared" si="10"/>
        <v>8192</v>
      </c>
      <c r="K27" s="68">
        <v>15.7</v>
      </c>
      <c r="L27" s="25">
        <f t="shared" si="7"/>
        <v>6.3694267515923567E-2</v>
      </c>
      <c r="M27" s="6"/>
      <c r="N27" s="1">
        <f t="shared" si="11"/>
        <v>8192</v>
      </c>
      <c r="O27" s="68">
        <v>33.9</v>
      </c>
      <c r="P27" s="25">
        <f t="shared" si="8"/>
        <v>2.9498525073746312E-2</v>
      </c>
    </row>
    <row r="28" spans="2:16" ht="15.75" thickBot="1" x14ac:dyDescent="0.3">
      <c r="B28" s="51" t="s">
        <v>53</v>
      </c>
      <c r="C28" s="52"/>
      <c r="D28" s="54" t="s">
        <v>28</v>
      </c>
      <c r="E28" s="6"/>
      <c r="F28" s="2">
        <f t="shared" si="9"/>
        <v>16384</v>
      </c>
      <c r="G28" s="68">
        <v>9.8000000000000007</v>
      </c>
      <c r="H28" s="25">
        <f t="shared" si="6"/>
        <v>0.1020408163265306</v>
      </c>
      <c r="I28" s="6"/>
      <c r="J28" s="2">
        <f t="shared" si="10"/>
        <v>16384</v>
      </c>
      <c r="K28" s="68">
        <v>10.9</v>
      </c>
      <c r="L28" s="25">
        <f t="shared" si="7"/>
        <v>9.1743119266055037E-2</v>
      </c>
      <c r="M28" s="6"/>
      <c r="N28" s="2">
        <f t="shared" si="11"/>
        <v>16384</v>
      </c>
      <c r="O28" s="68">
        <v>33.200000000000003</v>
      </c>
      <c r="P28" s="25">
        <f t="shared" si="8"/>
        <v>3.012048192771084E-2</v>
      </c>
    </row>
    <row r="29" spans="2:16" ht="15.75" thickBot="1" x14ac:dyDescent="0.3">
      <c r="B29" s="51" t="s">
        <v>54</v>
      </c>
      <c r="C29" s="52"/>
      <c r="D29" s="54" t="s">
        <v>27</v>
      </c>
      <c r="E29" s="10"/>
      <c r="F29" s="3" t="s">
        <v>0</v>
      </c>
      <c r="G29" s="4">
        <f>AVERAGE(G19:G28)</f>
        <v>26.110000000000003</v>
      </c>
      <c r="H29" s="26">
        <f>AVERAGE(H19:H28)</f>
        <v>4.4494126047202709E-2</v>
      </c>
      <c r="I29" s="10"/>
      <c r="J29" s="3" t="s">
        <v>0</v>
      </c>
      <c r="K29" s="4">
        <f>AVERAGE(K19:K28)</f>
        <v>26.630000000000003</v>
      </c>
      <c r="L29" s="26">
        <f>AVERAGE(L19:L28)</f>
        <v>4.2627888272793693E-2</v>
      </c>
      <c r="M29" s="10"/>
      <c r="N29" s="3" t="s">
        <v>0</v>
      </c>
      <c r="O29" s="4">
        <f>AVERAGE(O19:O28)</f>
        <v>33.349999999999994</v>
      </c>
      <c r="P29" s="26">
        <f>AVERAGE(P19:P28)</f>
        <v>2.9988085193304991E-2</v>
      </c>
    </row>
    <row r="30" spans="2:16" ht="15.75" thickBot="1" x14ac:dyDescent="0.3"/>
    <row r="31" spans="2:16" ht="24" thickBot="1" x14ac:dyDescent="0.4">
      <c r="B31" s="40" t="s">
        <v>5</v>
      </c>
      <c r="C31" s="41"/>
      <c r="D31" s="42"/>
      <c r="E31" s="45" t="s">
        <v>19</v>
      </c>
      <c r="F31" s="46"/>
      <c r="G31" s="46"/>
      <c r="H31" s="46"/>
      <c r="I31" s="46"/>
      <c r="J31" s="46"/>
      <c r="K31" s="47"/>
    </row>
    <row r="32" spans="2:16" ht="15.75" thickBot="1" x14ac:dyDescent="0.3">
      <c r="B32" s="19"/>
      <c r="C32" s="9"/>
      <c r="D32" s="9"/>
      <c r="E32" s="9"/>
      <c r="F32" s="32" t="s">
        <v>7</v>
      </c>
      <c r="G32" s="33"/>
      <c r="H32" s="20" t="s">
        <v>9</v>
      </c>
      <c r="I32" s="9"/>
      <c r="J32" s="32" t="s">
        <v>8</v>
      </c>
      <c r="K32" s="33"/>
      <c r="L32" s="20" t="s">
        <v>9</v>
      </c>
      <c r="M32" s="9"/>
      <c r="N32" s="32" t="s">
        <v>2</v>
      </c>
      <c r="O32" s="33"/>
      <c r="P32" s="20" t="s">
        <v>9</v>
      </c>
    </row>
    <row r="33" spans="2:26" ht="15.75" thickBot="1" x14ac:dyDescent="0.3">
      <c r="B33" s="8"/>
      <c r="C33" s="6"/>
      <c r="D33" s="6"/>
      <c r="E33" s="6"/>
      <c r="F33" s="4" t="s">
        <v>3</v>
      </c>
      <c r="G33" s="4" t="s">
        <v>1</v>
      </c>
      <c r="H33" s="4" t="s">
        <v>17</v>
      </c>
      <c r="I33" s="6"/>
      <c r="J33" s="4" t="s">
        <v>3</v>
      </c>
      <c r="K33" s="4" t="s">
        <v>1</v>
      </c>
      <c r="L33" s="4" t="s">
        <v>17</v>
      </c>
      <c r="M33" s="6"/>
      <c r="N33" s="4" t="s">
        <v>3</v>
      </c>
      <c r="O33" s="4" t="s">
        <v>1</v>
      </c>
      <c r="P33" s="4" t="s">
        <v>17</v>
      </c>
    </row>
    <row r="34" spans="2:26" ht="15.75" thickBot="1" x14ac:dyDescent="0.3">
      <c r="B34" s="32" t="s">
        <v>9</v>
      </c>
      <c r="C34" s="33"/>
      <c r="D34" s="20" t="s">
        <v>9</v>
      </c>
      <c r="E34" s="6"/>
      <c r="F34" s="1">
        <f>16*2</f>
        <v>32</v>
      </c>
      <c r="G34" s="68">
        <v>95.4</v>
      </c>
      <c r="H34" s="25">
        <f t="shared" ref="H34:H43" si="12">1/G34</f>
        <v>1.0482180293501047E-2</v>
      </c>
      <c r="I34" s="6"/>
      <c r="J34" s="1">
        <f>16*2</f>
        <v>32</v>
      </c>
      <c r="K34" s="68">
        <v>94.3</v>
      </c>
      <c r="L34" s="25">
        <f t="shared" ref="L34:L43" si="13">1/K34</f>
        <v>1.0604453870625663E-2</v>
      </c>
      <c r="M34" s="6"/>
      <c r="N34" s="1">
        <f>16*2</f>
        <v>32</v>
      </c>
      <c r="O34" s="68">
        <v>94</v>
      </c>
      <c r="P34" s="25">
        <f t="shared" ref="P34:P43" si="14">1/O34</f>
        <v>1.0638297872340425E-2</v>
      </c>
    </row>
    <row r="35" spans="2:26" ht="15.75" thickBot="1" x14ac:dyDescent="0.3">
      <c r="B35" s="4" t="s">
        <v>3</v>
      </c>
      <c r="C35" s="4" t="s">
        <v>1</v>
      </c>
      <c r="D35" s="4" t="s">
        <v>17</v>
      </c>
      <c r="E35" s="6"/>
      <c r="F35" s="1">
        <f t="shared" ref="F35:F43" si="15">F34*2</f>
        <v>64</v>
      </c>
      <c r="G35" s="68">
        <v>108.5</v>
      </c>
      <c r="H35" s="25">
        <f t="shared" si="12"/>
        <v>9.2165898617511521E-3</v>
      </c>
      <c r="I35" s="6"/>
      <c r="J35" s="1">
        <f t="shared" ref="J35:J43" si="16">J34*2</f>
        <v>64</v>
      </c>
      <c r="K35" s="68">
        <v>117.9</v>
      </c>
      <c r="L35" s="25">
        <f t="shared" si="13"/>
        <v>8.4817642069550461E-3</v>
      </c>
      <c r="M35" s="6"/>
      <c r="N35" s="1">
        <f t="shared" ref="N35:N43" si="17">N34*2</f>
        <v>64</v>
      </c>
      <c r="O35" s="68">
        <v>105</v>
      </c>
      <c r="P35" s="25">
        <f t="shared" si="14"/>
        <v>9.5238095238095247E-3</v>
      </c>
    </row>
    <row r="36" spans="2:26" ht="15.75" thickBot="1" x14ac:dyDescent="0.3">
      <c r="B36" s="15" t="s">
        <v>11</v>
      </c>
      <c r="C36" s="16">
        <v>118.9</v>
      </c>
      <c r="D36" s="27">
        <f>1/C36</f>
        <v>8.4104289318755257E-3</v>
      </c>
      <c r="E36" s="6"/>
      <c r="F36" s="1">
        <f t="shared" si="15"/>
        <v>128</v>
      </c>
      <c r="G36" s="68">
        <v>110.7</v>
      </c>
      <c r="H36" s="25">
        <f t="shared" si="12"/>
        <v>9.0334236675700084E-3</v>
      </c>
      <c r="I36" s="6"/>
      <c r="J36" s="1">
        <f t="shared" si="16"/>
        <v>128</v>
      </c>
      <c r="K36" s="68">
        <v>109.2</v>
      </c>
      <c r="L36" s="25">
        <f t="shared" si="13"/>
        <v>9.1575091575091579E-3</v>
      </c>
      <c r="M36" s="6"/>
      <c r="N36" s="1">
        <f t="shared" si="17"/>
        <v>128</v>
      </c>
      <c r="O36" s="68">
        <v>109.5</v>
      </c>
      <c r="P36" s="25">
        <f t="shared" si="14"/>
        <v>9.1324200913242004E-3</v>
      </c>
    </row>
    <row r="37" spans="2:26" ht="15.75" thickBot="1" x14ac:dyDescent="0.3">
      <c r="B37" s="8"/>
      <c r="C37" s="6"/>
      <c r="D37" s="6"/>
      <c r="E37" s="6"/>
      <c r="F37" s="1">
        <f t="shared" si="15"/>
        <v>256</v>
      </c>
      <c r="G37" s="68">
        <v>106</v>
      </c>
      <c r="H37" s="25">
        <f t="shared" si="12"/>
        <v>9.433962264150943E-3</v>
      </c>
      <c r="I37" s="6"/>
      <c r="J37" s="1">
        <f t="shared" si="16"/>
        <v>256</v>
      </c>
      <c r="K37" s="68">
        <v>107.9</v>
      </c>
      <c r="L37" s="25">
        <f t="shared" si="13"/>
        <v>9.2678405931417972E-3</v>
      </c>
      <c r="M37" s="6"/>
      <c r="N37" s="1">
        <f t="shared" si="17"/>
        <v>256</v>
      </c>
      <c r="O37" s="68">
        <v>109</v>
      </c>
      <c r="P37" s="25">
        <f t="shared" si="14"/>
        <v>9.1743119266055051E-3</v>
      </c>
    </row>
    <row r="38" spans="2:26" ht="15.75" thickBot="1" x14ac:dyDescent="0.3">
      <c r="B38" s="32" t="s">
        <v>9</v>
      </c>
      <c r="C38" s="33"/>
      <c r="D38" s="20" t="s">
        <v>10</v>
      </c>
      <c r="E38" s="6"/>
      <c r="F38" s="1">
        <f t="shared" si="15"/>
        <v>512</v>
      </c>
      <c r="G38" s="68">
        <v>95.3</v>
      </c>
      <c r="H38" s="25">
        <f t="shared" si="12"/>
        <v>1.0493179433368312E-2</v>
      </c>
      <c r="I38" s="6"/>
      <c r="J38" s="1">
        <f t="shared" si="16"/>
        <v>512</v>
      </c>
      <c r="K38" s="68">
        <v>100.3</v>
      </c>
      <c r="L38" s="25">
        <f t="shared" si="13"/>
        <v>9.9700897308075773E-3</v>
      </c>
      <c r="M38" s="6"/>
      <c r="N38" s="1">
        <f t="shared" si="17"/>
        <v>512</v>
      </c>
      <c r="O38" s="68">
        <v>109</v>
      </c>
      <c r="P38" s="25">
        <f t="shared" si="14"/>
        <v>9.1743119266055051E-3</v>
      </c>
    </row>
    <row r="39" spans="2:26" ht="15.75" thickBot="1" x14ac:dyDescent="0.3">
      <c r="B39" s="4" t="s">
        <v>3</v>
      </c>
      <c r="C39" s="4" t="s">
        <v>1</v>
      </c>
      <c r="D39" s="4" t="s">
        <v>17</v>
      </c>
      <c r="E39" s="6"/>
      <c r="F39" s="1">
        <f t="shared" si="15"/>
        <v>1024</v>
      </c>
      <c r="G39" s="68">
        <v>89.3</v>
      </c>
      <c r="H39" s="25">
        <f t="shared" si="12"/>
        <v>1.1198208286674132E-2</v>
      </c>
      <c r="I39" s="6"/>
      <c r="J39" s="1">
        <f t="shared" si="16"/>
        <v>1024</v>
      </c>
      <c r="K39" s="68">
        <v>85.8</v>
      </c>
      <c r="L39" s="25">
        <f t="shared" si="13"/>
        <v>1.1655011655011656E-2</v>
      </c>
      <c r="M39" s="6"/>
      <c r="N39" s="1">
        <f t="shared" si="17"/>
        <v>1024</v>
      </c>
      <c r="O39" s="68">
        <v>109.8</v>
      </c>
      <c r="P39" s="25">
        <f t="shared" si="14"/>
        <v>9.1074681238615673E-3</v>
      </c>
      <c r="Z39" s="21" t="s">
        <v>15</v>
      </c>
    </row>
    <row r="40" spans="2:26" ht="15.75" thickBot="1" x14ac:dyDescent="0.3">
      <c r="B40" s="15" t="s">
        <v>11</v>
      </c>
      <c r="C40" s="23">
        <v>26.3</v>
      </c>
      <c r="D40" s="27">
        <f>1/C40</f>
        <v>3.8022813688212927E-2</v>
      </c>
      <c r="E40" s="6"/>
      <c r="F40" s="1">
        <f t="shared" si="15"/>
        <v>2048</v>
      </c>
      <c r="G40" s="68">
        <v>62.4</v>
      </c>
      <c r="H40" s="25">
        <f t="shared" si="12"/>
        <v>1.6025641025641028E-2</v>
      </c>
      <c r="I40" s="6"/>
      <c r="J40" s="1">
        <f t="shared" si="16"/>
        <v>2048</v>
      </c>
      <c r="K40" s="68">
        <v>58.6</v>
      </c>
      <c r="L40" s="25">
        <f t="shared" si="13"/>
        <v>1.7064846416382253E-2</v>
      </c>
      <c r="M40" s="6"/>
      <c r="N40" s="1">
        <f t="shared" si="17"/>
        <v>2048</v>
      </c>
      <c r="O40" s="68">
        <v>108</v>
      </c>
      <c r="P40" s="25">
        <f t="shared" si="14"/>
        <v>9.2592592592592587E-3</v>
      </c>
      <c r="Z40" s="21" t="s">
        <v>16</v>
      </c>
    </row>
    <row r="41" spans="2:26" x14ac:dyDescent="0.25">
      <c r="B41" s="8"/>
      <c r="C41" s="6"/>
      <c r="D41" s="6"/>
      <c r="E41" s="6"/>
      <c r="F41" s="1">
        <f t="shared" si="15"/>
        <v>4096</v>
      </c>
      <c r="G41" s="68">
        <v>40.6</v>
      </c>
      <c r="H41" s="25">
        <f t="shared" si="12"/>
        <v>2.463054187192118E-2</v>
      </c>
      <c r="I41" s="6"/>
      <c r="J41" s="1">
        <f t="shared" si="16"/>
        <v>4096</v>
      </c>
      <c r="K41" s="68">
        <v>45.6</v>
      </c>
      <c r="L41" s="25">
        <f t="shared" si="13"/>
        <v>2.1929824561403508E-2</v>
      </c>
      <c r="M41" s="6"/>
      <c r="N41" s="1">
        <f t="shared" si="17"/>
        <v>4096</v>
      </c>
      <c r="O41" s="68">
        <v>104.6</v>
      </c>
      <c r="P41" s="25">
        <f t="shared" si="14"/>
        <v>9.5602294455066923E-3</v>
      </c>
    </row>
    <row r="42" spans="2:26" x14ac:dyDescent="0.25">
      <c r="B42" s="8"/>
      <c r="C42" s="6"/>
      <c r="D42" s="6"/>
      <c r="E42" s="6"/>
      <c r="F42" s="1">
        <f t="shared" si="15"/>
        <v>8192</v>
      </c>
      <c r="G42" s="68">
        <v>24.3</v>
      </c>
      <c r="H42" s="25">
        <f t="shared" si="12"/>
        <v>4.1152263374485597E-2</v>
      </c>
      <c r="I42" s="6"/>
      <c r="J42" s="1">
        <f t="shared" si="16"/>
        <v>8192</v>
      </c>
      <c r="K42" s="68">
        <v>28.4</v>
      </c>
      <c r="L42" s="25">
        <f t="shared" si="13"/>
        <v>3.5211267605633804E-2</v>
      </c>
      <c r="M42" s="6"/>
      <c r="N42" s="1">
        <f t="shared" si="17"/>
        <v>8192</v>
      </c>
      <c r="O42" s="68">
        <v>107.3</v>
      </c>
      <c r="P42" s="25">
        <f t="shared" si="14"/>
        <v>9.3196644920782862E-3</v>
      </c>
    </row>
    <row r="43" spans="2:26" ht="15.75" thickBot="1" x14ac:dyDescent="0.3">
      <c r="B43" s="8"/>
      <c r="C43" s="6"/>
      <c r="D43" s="6"/>
      <c r="E43" s="6"/>
      <c r="F43" s="2">
        <f t="shared" si="15"/>
        <v>16384</v>
      </c>
      <c r="G43" s="68">
        <v>12.8</v>
      </c>
      <c r="H43" s="25">
        <f t="shared" si="12"/>
        <v>7.8125E-2</v>
      </c>
      <c r="I43" s="6"/>
      <c r="J43" s="2">
        <f t="shared" si="16"/>
        <v>16384</v>
      </c>
      <c r="K43" s="68">
        <v>15.4</v>
      </c>
      <c r="L43" s="25">
        <f t="shared" si="13"/>
        <v>6.4935064935064929E-2</v>
      </c>
      <c r="M43" s="6"/>
      <c r="N43" s="2">
        <f t="shared" si="17"/>
        <v>16384</v>
      </c>
      <c r="O43" s="68">
        <v>106.8</v>
      </c>
      <c r="P43" s="25">
        <f t="shared" si="14"/>
        <v>9.3632958801498131E-3</v>
      </c>
    </row>
    <row r="44" spans="2:26" ht="15.75" thickBot="1" x14ac:dyDescent="0.3">
      <c r="B44" s="8"/>
      <c r="C44" s="6"/>
      <c r="D44" s="6"/>
      <c r="E44" s="6"/>
      <c r="F44" s="3" t="s">
        <v>0</v>
      </c>
      <c r="G44" s="4">
        <f>AVERAGE(G34:G43)</f>
        <v>74.529999999999987</v>
      </c>
      <c r="H44" s="26">
        <f>AVERAGE(H34:H43)</f>
        <v>2.1979099007906337E-2</v>
      </c>
      <c r="I44" s="6"/>
      <c r="J44" s="3" t="s">
        <v>0</v>
      </c>
      <c r="K44" s="4">
        <f>AVERAGE(K34:K43)</f>
        <v>76.339999999999989</v>
      </c>
      <c r="L44" s="26">
        <f>AVERAGE(L34:L43)</f>
        <v>1.9827767273253537E-2</v>
      </c>
      <c r="M44" s="6"/>
      <c r="N44" s="3" t="s">
        <v>0</v>
      </c>
      <c r="O44" s="4">
        <f>AVERAGE(O34:O43)</f>
        <v>106.3</v>
      </c>
      <c r="P44" s="26">
        <f>AVERAGE(P34:P43)</f>
        <v>9.4253068541540769E-3</v>
      </c>
    </row>
    <row r="45" spans="2:26" ht="24" thickBot="1" x14ac:dyDescent="0.4">
      <c r="B45" s="61" t="s">
        <v>44</v>
      </c>
      <c r="C45" s="62"/>
      <c r="D45" s="63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/>
    </row>
    <row r="46" spans="2:26" ht="15.75" thickBot="1" x14ac:dyDescent="0.3">
      <c r="B46" s="55" t="s">
        <v>21</v>
      </c>
      <c r="C46" s="56"/>
      <c r="D46" s="57" t="s">
        <v>22</v>
      </c>
      <c r="E46" s="6"/>
      <c r="F46" s="32" t="s">
        <v>7</v>
      </c>
      <c r="G46" s="33"/>
      <c r="H46" s="20" t="s">
        <v>10</v>
      </c>
      <c r="I46" s="6"/>
      <c r="J46" s="32" t="s">
        <v>8</v>
      </c>
      <c r="K46" s="33"/>
      <c r="L46" s="20" t="s">
        <v>10</v>
      </c>
      <c r="M46" s="6"/>
      <c r="N46" s="32" t="s">
        <v>2</v>
      </c>
      <c r="O46" s="33"/>
      <c r="P46" s="20" t="s">
        <v>10</v>
      </c>
    </row>
    <row r="47" spans="2:26" ht="15.75" thickBot="1" x14ac:dyDescent="0.3">
      <c r="B47" s="58" t="s">
        <v>48</v>
      </c>
      <c r="C47" s="52"/>
      <c r="D47" s="53">
        <v>16</v>
      </c>
      <c r="E47" s="6"/>
      <c r="F47" s="4" t="s">
        <v>3</v>
      </c>
      <c r="G47" s="4" t="s">
        <v>1</v>
      </c>
      <c r="H47" s="4" t="s">
        <v>17</v>
      </c>
      <c r="I47" s="6"/>
      <c r="J47" s="4" t="s">
        <v>3</v>
      </c>
      <c r="K47" s="4" t="s">
        <v>1</v>
      </c>
      <c r="L47" s="4" t="s">
        <v>17</v>
      </c>
      <c r="M47" s="6"/>
      <c r="N47" s="4" t="s">
        <v>3</v>
      </c>
      <c r="O47" s="4" t="s">
        <v>1</v>
      </c>
      <c r="P47" s="4" t="s">
        <v>17</v>
      </c>
    </row>
    <row r="48" spans="2:26" ht="15.75" thickBot="1" x14ac:dyDescent="0.3">
      <c r="B48" s="51" t="s">
        <v>49</v>
      </c>
      <c r="C48" s="52"/>
      <c r="D48" s="53">
        <v>22</v>
      </c>
      <c r="E48" s="6"/>
      <c r="F48" s="1">
        <f>16*2</f>
        <v>32</v>
      </c>
      <c r="G48" s="68">
        <v>27.5</v>
      </c>
      <c r="H48" s="25">
        <f t="shared" ref="H48:H57" si="18">1/G48</f>
        <v>3.6363636363636362E-2</v>
      </c>
      <c r="I48" s="6"/>
      <c r="J48" s="1">
        <f>16*2</f>
        <v>32</v>
      </c>
      <c r="K48" s="68">
        <v>28.9</v>
      </c>
      <c r="L48" s="25">
        <f t="shared" ref="L48:L57" si="19">1/K48</f>
        <v>3.4602076124567477E-2</v>
      </c>
      <c r="M48" s="6"/>
      <c r="N48" s="1">
        <f>16*2</f>
        <v>32</v>
      </c>
      <c r="O48" s="68">
        <v>26.8</v>
      </c>
      <c r="P48" s="25">
        <f t="shared" ref="P48:P57" si="20">1/O48</f>
        <v>3.7313432835820892E-2</v>
      </c>
    </row>
    <row r="49" spans="2:16" ht="15.75" thickBot="1" x14ac:dyDescent="0.3">
      <c r="B49" s="51" t="s">
        <v>50</v>
      </c>
      <c r="C49" s="52"/>
      <c r="D49" s="54" t="s">
        <v>30</v>
      </c>
      <c r="E49" s="6"/>
      <c r="F49" s="1">
        <f t="shared" ref="F49:F57" si="21">F48*2</f>
        <v>64</v>
      </c>
      <c r="G49" s="68">
        <v>24.1</v>
      </c>
      <c r="H49" s="25">
        <f t="shared" si="18"/>
        <v>4.1493775933609957E-2</v>
      </c>
      <c r="I49" s="6"/>
      <c r="J49" s="1">
        <f t="shared" ref="J49:J57" si="22">J48*2</f>
        <v>64</v>
      </c>
      <c r="K49" s="68">
        <v>20.6</v>
      </c>
      <c r="L49" s="25">
        <f t="shared" si="19"/>
        <v>4.8543689320388349E-2</v>
      </c>
      <c r="M49" s="6"/>
      <c r="N49" s="1">
        <f t="shared" ref="N49:N57" si="23">N48*2</f>
        <v>64</v>
      </c>
      <c r="O49" s="68">
        <v>26.7</v>
      </c>
      <c r="P49" s="25">
        <f t="shared" si="20"/>
        <v>3.7453183520599252E-2</v>
      </c>
    </row>
    <row r="50" spans="2:16" ht="15.75" thickBot="1" x14ac:dyDescent="0.3">
      <c r="B50" s="51" t="s">
        <v>51</v>
      </c>
      <c r="C50" s="52"/>
      <c r="D50" s="54" t="s">
        <v>29</v>
      </c>
      <c r="E50" s="6"/>
      <c r="F50" s="1">
        <f t="shared" si="21"/>
        <v>128</v>
      </c>
      <c r="G50" s="68">
        <v>26.6</v>
      </c>
      <c r="H50" s="25">
        <f t="shared" si="18"/>
        <v>3.7593984962406013E-2</v>
      </c>
      <c r="I50" s="6"/>
      <c r="J50" s="1">
        <f t="shared" si="22"/>
        <v>128</v>
      </c>
      <c r="K50" s="68">
        <v>23.7</v>
      </c>
      <c r="L50" s="25">
        <f t="shared" si="19"/>
        <v>4.2194092827004218E-2</v>
      </c>
      <c r="M50" s="6"/>
      <c r="N50" s="1">
        <f t="shared" si="23"/>
        <v>128</v>
      </c>
      <c r="O50" s="68">
        <v>26.3</v>
      </c>
      <c r="P50" s="25">
        <f t="shared" si="20"/>
        <v>3.8022813688212927E-2</v>
      </c>
    </row>
    <row r="51" spans="2:16" ht="15.75" thickBot="1" x14ac:dyDescent="0.3">
      <c r="B51" s="8"/>
      <c r="C51" s="6"/>
      <c r="D51" s="6"/>
      <c r="E51" s="6"/>
      <c r="F51" s="1">
        <f t="shared" si="21"/>
        <v>256</v>
      </c>
      <c r="G51" s="68">
        <v>27</v>
      </c>
      <c r="H51" s="25">
        <f t="shared" si="18"/>
        <v>3.7037037037037035E-2</v>
      </c>
      <c r="I51" s="6"/>
      <c r="J51" s="1">
        <f t="shared" si="22"/>
        <v>256</v>
      </c>
      <c r="K51" s="68">
        <v>24.9</v>
      </c>
      <c r="L51" s="25">
        <f t="shared" si="19"/>
        <v>4.0160642570281124E-2</v>
      </c>
      <c r="M51" s="6"/>
      <c r="N51" s="1">
        <f t="shared" si="23"/>
        <v>256</v>
      </c>
      <c r="O51" s="68">
        <v>28.2</v>
      </c>
      <c r="P51" s="25">
        <f t="shared" si="20"/>
        <v>3.5460992907801421E-2</v>
      </c>
    </row>
    <row r="52" spans="2:16" ht="24" thickBot="1" x14ac:dyDescent="0.4">
      <c r="B52" s="61" t="s">
        <v>45</v>
      </c>
      <c r="C52" s="62"/>
      <c r="D52" s="63"/>
      <c r="E52" s="6"/>
      <c r="F52" s="1">
        <f t="shared" si="21"/>
        <v>512</v>
      </c>
      <c r="G52" s="68">
        <v>25.7</v>
      </c>
      <c r="H52" s="25">
        <f t="shared" si="18"/>
        <v>3.8910505836575876E-2</v>
      </c>
      <c r="I52" s="6"/>
      <c r="J52" s="1">
        <f t="shared" si="22"/>
        <v>512</v>
      </c>
      <c r="K52" s="68">
        <v>22</v>
      </c>
      <c r="L52" s="25">
        <f t="shared" si="19"/>
        <v>4.5454545454545456E-2</v>
      </c>
      <c r="M52" s="6"/>
      <c r="N52" s="1">
        <f t="shared" si="23"/>
        <v>512</v>
      </c>
      <c r="O52" s="68">
        <v>24.3</v>
      </c>
      <c r="P52" s="25">
        <f t="shared" si="20"/>
        <v>4.1152263374485597E-2</v>
      </c>
    </row>
    <row r="53" spans="2:16" ht="15.75" thickBot="1" x14ac:dyDescent="0.3">
      <c r="B53" s="55" t="s">
        <v>21</v>
      </c>
      <c r="C53" s="56"/>
      <c r="D53" s="57" t="s">
        <v>22</v>
      </c>
      <c r="E53" s="6"/>
      <c r="F53" s="1">
        <f t="shared" si="21"/>
        <v>1024</v>
      </c>
      <c r="G53" s="68">
        <v>22.5</v>
      </c>
      <c r="H53" s="25">
        <f t="shared" si="18"/>
        <v>4.4444444444444446E-2</v>
      </c>
      <c r="I53" s="6"/>
      <c r="J53" s="1">
        <f t="shared" si="22"/>
        <v>1024</v>
      </c>
      <c r="K53" s="68">
        <v>23.1</v>
      </c>
      <c r="L53" s="25">
        <f t="shared" si="19"/>
        <v>4.3290043290043288E-2</v>
      </c>
      <c r="M53" s="6"/>
      <c r="N53" s="1">
        <f t="shared" si="23"/>
        <v>1024</v>
      </c>
      <c r="O53" s="68">
        <v>24.5</v>
      </c>
      <c r="P53" s="25">
        <f t="shared" si="20"/>
        <v>4.0816326530612242E-2</v>
      </c>
    </row>
    <row r="54" spans="2:16" ht="15.75" thickBot="1" x14ac:dyDescent="0.3">
      <c r="B54" s="58" t="s">
        <v>35</v>
      </c>
      <c r="C54" s="59"/>
      <c r="D54" s="60">
        <v>36</v>
      </c>
      <c r="E54" s="6"/>
      <c r="F54" s="1">
        <f t="shared" si="21"/>
        <v>2048</v>
      </c>
      <c r="G54" s="68">
        <v>19.3</v>
      </c>
      <c r="H54" s="25">
        <f t="shared" si="18"/>
        <v>5.181347150259067E-2</v>
      </c>
      <c r="I54" s="6"/>
      <c r="J54" s="1">
        <f t="shared" si="22"/>
        <v>2048</v>
      </c>
      <c r="K54" s="68">
        <v>15.7</v>
      </c>
      <c r="L54" s="25">
        <f t="shared" si="19"/>
        <v>6.3694267515923567E-2</v>
      </c>
      <c r="M54" s="6"/>
      <c r="N54" s="1">
        <f t="shared" si="23"/>
        <v>2048</v>
      </c>
      <c r="O54" s="68">
        <v>24.6</v>
      </c>
      <c r="P54" s="25">
        <f t="shared" si="20"/>
        <v>4.065040650406504E-2</v>
      </c>
    </row>
    <row r="55" spans="2:16" ht="15.75" thickBot="1" x14ac:dyDescent="0.3">
      <c r="B55" s="51" t="s">
        <v>50</v>
      </c>
      <c r="C55" s="52"/>
      <c r="D55" s="54" t="s">
        <v>32</v>
      </c>
      <c r="E55" s="6"/>
      <c r="F55" s="1">
        <f t="shared" si="21"/>
        <v>4096</v>
      </c>
      <c r="G55" s="68">
        <v>18.5</v>
      </c>
      <c r="H55" s="25">
        <f t="shared" si="18"/>
        <v>5.4054054054054057E-2</v>
      </c>
      <c r="I55" s="6"/>
      <c r="J55" s="1">
        <f t="shared" si="22"/>
        <v>4096</v>
      </c>
      <c r="K55" s="68">
        <v>18.5</v>
      </c>
      <c r="L55" s="25">
        <f t="shared" si="19"/>
        <v>5.4054054054054057E-2</v>
      </c>
      <c r="M55" s="6"/>
      <c r="N55" s="1">
        <f t="shared" si="23"/>
        <v>4096</v>
      </c>
      <c r="O55" s="68">
        <v>23.5</v>
      </c>
      <c r="P55" s="25">
        <f t="shared" si="20"/>
        <v>4.2553191489361701E-2</v>
      </c>
    </row>
    <row r="56" spans="2:16" ht="15.75" thickBot="1" x14ac:dyDescent="0.3">
      <c r="B56" s="51" t="s">
        <v>52</v>
      </c>
      <c r="C56" s="52"/>
      <c r="D56" s="54" t="s">
        <v>31</v>
      </c>
      <c r="E56" s="6"/>
      <c r="F56" s="1">
        <f t="shared" si="21"/>
        <v>8192</v>
      </c>
      <c r="G56" s="68">
        <v>13.6</v>
      </c>
      <c r="H56" s="25">
        <f t="shared" si="18"/>
        <v>7.3529411764705885E-2</v>
      </c>
      <c r="I56" s="6"/>
      <c r="J56" s="1">
        <f t="shared" si="22"/>
        <v>8192</v>
      </c>
      <c r="K56" s="68">
        <v>15</v>
      </c>
      <c r="L56" s="25">
        <f t="shared" si="19"/>
        <v>6.6666666666666666E-2</v>
      </c>
      <c r="M56" s="6"/>
      <c r="N56" s="1">
        <f t="shared" si="23"/>
        <v>8192</v>
      </c>
      <c r="O56" s="68">
        <v>25.7</v>
      </c>
      <c r="P56" s="25">
        <f t="shared" si="20"/>
        <v>3.8910505836575876E-2</v>
      </c>
    </row>
    <row r="57" spans="2:16" ht="15.75" thickBot="1" x14ac:dyDescent="0.3">
      <c r="B57" s="51" t="s">
        <v>53</v>
      </c>
      <c r="C57" s="52"/>
      <c r="D57" s="54" t="s">
        <v>33</v>
      </c>
      <c r="E57" s="6"/>
      <c r="F57" s="2">
        <f t="shared" si="21"/>
        <v>16384</v>
      </c>
      <c r="G57" s="68">
        <v>9.4</v>
      </c>
      <c r="H57" s="25">
        <f t="shared" si="18"/>
        <v>0.10638297872340426</v>
      </c>
      <c r="I57" s="6"/>
      <c r="J57" s="2">
        <f t="shared" si="22"/>
        <v>16384</v>
      </c>
      <c r="K57" s="68">
        <v>10.4</v>
      </c>
      <c r="L57" s="25">
        <f t="shared" si="19"/>
        <v>9.6153846153846145E-2</v>
      </c>
      <c r="M57" s="6"/>
      <c r="N57" s="2">
        <f t="shared" si="23"/>
        <v>16384</v>
      </c>
      <c r="O57" s="68">
        <v>25.4</v>
      </c>
      <c r="P57" s="25">
        <f t="shared" si="20"/>
        <v>3.937007874015748E-2</v>
      </c>
    </row>
    <row r="58" spans="2:16" ht="15.75" thickBot="1" x14ac:dyDescent="0.3">
      <c r="B58" s="51" t="s">
        <v>54</v>
      </c>
      <c r="C58" s="52"/>
      <c r="D58" s="54" t="s">
        <v>27</v>
      </c>
      <c r="E58" s="10"/>
      <c r="F58" s="3" t="s">
        <v>0</v>
      </c>
      <c r="G58" s="4">
        <f>AVERAGE(G48:G57)</f>
        <v>21.42</v>
      </c>
      <c r="H58" s="26">
        <f>AVERAGE(H48:H57)</f>
        <v>5.2162330062246465E-2</v>
      </c>
      <c r="I58" s="10"/>
      <c r="J58" s="3" t="s">
        <v>0</v>
      </c>
      <c r="K58" s="4">
        <f>AVERAGE(K48:K57)</f>
        <v>20.279999999999998</v>
      </c>
      <c r="L58" s="26">
        <f>AVERAGE(L48:L57)</f>
        <v>5.348139239773203E-2</v>
      </c>
      <c r="M58" s="10"/>
      <c r="N58" s="3" t="s">
        <v>0</v>
      </c>
      <c r="O58" s="4">
        <f>AVERAGE(O48:O57)</f>
        <v>25.6</v>
      </c>
      <c r="P58" s="26">
        <f>AVERAGE(P48:P57)</f>
        <v>3.9170319542769241E-2</v>
      </c>
    </row>
    <row r="59" spans="2:16" ht="15.75" thickBot="1" x14ac:dyDescent="0.3"/>
    <row r="60" spans="2:16" ht="24" thickBot="1" x14ac:dyDescent="0.4">
      <c r="B60" s="34" t="s">
        <v>12</v>
      </c>
      <c r="C60" s="35"/>
      <c r="D60" s="36"/>
      <c r="E60" s="45" t="s">
        <v>20</v>
      </c>
      <c r="F60" s="46"/>
      <c r="G60" s="46"/>
      <c r="H60" s="46"/>
      <c r="I60" s="47"/>
    </row>
    <row r="61" spans="2:16" ht="15.75" thickBot="1" x14ac:dyDescent="0.3">
      <c r="B61" s="19"/>
      <c r="C61" s="9"/>
      <c r="D61" s="9"/>
      <c r="E61" s="9"/>
      <c r="F61" s="30" t="s">
        <v>7</v>
      </c>
      <c r="G61" s="31"/>
      <c r="H61" s="11" t="s">
        <v>9</v>
      </c>
      <c r="I61" s="9"/>
      <c r="J61" s="30" t="s">
        <v>8</v>
      </c>
      <c r="K61" s="31"/>
      <c r="L61" s="11" t="s">
        <v>9</v>
      </c>
      <c r="M61" s="9"/>
      <c r="N61" s="30" t="s">
        <v>2</v>
      </c>
      <c r="O61" s="31"/>
      <c r="P61" s="11" t="s">
        <v>9</v>
      </c>
    </row>
    <row r="62" spans="2:16" ht="15.75" thickBot="1" x14ac:dyDescent="0.3">
      <c r="B62" s="8"/>
      <c r="C62" s="6"/>
      <c r="D62" s="6"/>
      <c r="E62" s="6"/>
      <c r="F62" s="4" t="s">
        <v>3</v>
      </c>
      <c r="G62" s="4" t="s">
        <v>1</v>
      </c>
      <c r="H62" s="4" t="s">
        <v>17</v>
      </c>
      <c r="I62" s="6"/>
      <c r="J62" s="4" t="s">
        <v>3</v>
      </c>
      <c r="K62" s="4" t="s">
        <v>1</v>
      </c>
      <c r="L62" s="4" t="s">
        <v>17</v>
      </c>
      <c r="M62" s="6"/>
      <c r="N62" s="4" t="s">
        <v>3</v>
      </c>
      <c r="O62" s="4" t="s">
        <v>1</v>
      </c>
      <c r="P62" s="4" t="s">
        <v>17</v>
      </c>
    </row>
    <row r="63" spans="2:16" ht="15.75" thickBot="1" x14ac:dyDescent="0.3">
      <c r="B63" s="30" t="s">
        <v>9</v>
      </c>
      <c r="C63" s="31"/>
      <c r="D63" s="11" t="s">
        <v>9</v>
      </c>
      <c r="E63" s="18"/>
      <c r="F63" s="1">
        <f>16*2</f>
        <v>32</v>
      </c>
      <c r="G63" s="5">
        <v>120.6</v>
      </c>
      <c r="H63" s="25">
        <f t="shared" ref="H63:H72" si="24">1/G63</f>
        <v>8.291873963515755E-3</v>
      </c>
      <c r="I63" s="6"/>
      <c r="J63" s="1">
        <f>16*2</f>
        <v>32</v>
      </c>
      <c r="K63" s="5">
        <v>119.8</v>
      </c>
      <c r="L63" s="25">
        <f t="shared" ref="L63:L72" si="25">1/K63</f>
        <v>8.3472454090150246E-3</v>
      </c>
      <c r="M63" s="6"/>
      <c r="N63" s="1">
        <f>16*2</f>
        <v>32</v>
      </c>
      <c r="O63" s="5">
        <v>117.3</v>
      </c>
      <c r="P63" s="25">
        <f t="shared" ref="P63:P72" si="26">1/O63</f>
        <v>8.5251491901108273E-3</v>
      </c>
    </row>
    <row r="64" spans="2:16" ht="15.75" thickBot="1" x14ac:dyDescent="0.3">
      <c r="B64" s="4" t="s">
        <v>3</v>
      </c>
      <c r="C64" s="4" t="s">
        <v>1</v>
      </c>
      <c r="D64" s="4" t="s">
        <v>17</v>
      </c>
      <c r="E64" s="18"/>
      <c r="F64" s="1">
        <f t="shared" ref="F64:F72" si="27">F63*2</f>
        <v>64</v>
      </c>
      <c r="G64" s="5">
        <v>120.2</v>
      </c>
      <c r="H64" s="25">
        <f t="shared" si="24"/>
        <v>8.3194675540765387E-3</v>
      </c>
      <c r="I64" s="6"/>
      <c r="J64" s="1">
        <f t="shared" ref="J64:J72" si="28">J63*2</f>
        <v>64</v>
      </c>
      <c r="K64" s="5">
        <v>106</v>
      </c>
      <c r="L64" s="25">
        <f t="shared" si="25"/>
        <v>9.433962264150943E-3</v>
      </c>
      <c r="M64" s="6"/>
      <c r="N64" s="1">
        <f t="shared" ref="N64:N72" si="29">N63*2</f>
        <v>64</v>
      </c>
      <c r="O64" s="5">
        <v>74.400000000000006</v>
      </c>
      <c r="P64" s="25">
        <f t="shared" si="26"/>
        <v>1.3440860215053762E-2</v>
      </c>
    </row>
    <row r="65" spans="2:16" ht="15.75" thickBot="1" x14ac:dyDescent="0.3">
      <c r="B65" s="15" t="s">
        <v>11</v>
      </c>
      <c r="C65" s="16">
        <v>103.6</v>
      </c>
      <c r="D65" s="27">
        <f>1/C65</f>
        <v>9.6525096525096523E-3</v>
      </c>
      <c r="E65" s="18"/>
      <c r="F65" s="1">
        <f t="shared" si="27"/>
        <v>128</v>
      </c>
      <c r="G65" s="5">
        <v>68.8</v>
      </c>
      <c r="H65" s="25">
        <f t="shared" si="24"/>
        <v>1.4534883720930232E-2</v>
      </c>
      <c r="I65" s="6"/>
      <c r="J65" s="1">
        <f t="shared" si="28"/>
        <v>128</v>
      </c>
      <c r="K65" s="5">
        <v>115.2</v>
      </c>
      <c r="L65" s="25">
        <f t="shared" si="25"/>
        <v>8.6805555555555559E-3</v>
      </c>
      <c r="M65" s="6"/>
      <c r="N65" s="1">
        <f t="shared" si="29"/>
        <v>128</v>
      </c>
      <c r="O65" s="5">
        <v>113.4</v>
      </c>
      <c r="P65" s="25">
        <f t="shared" si="26"/>
        <v>8.8183421516754845E-3</v>
      </c>
    </row>
    <row r="66" spans="2:16" ht="15.75" thickBot="1" x14ac:dyDescent="0.3">
      <c r="B66" s="8"/>
      <c r="C66" s="6"/>
      <c r="D66" s="6"/>
      <c r="E66" s="6"/>
      <c r="F66" s="1">
        <f t="shared" si="27"/>
        <v>256</v>
      </c>
      <c r="G66" s="5">
        <v>119.5</v>
      </c>
      <c r="H66" s="25">
        <f t="shared" si="24"/>
        <v>8.368200836820083E-3</v>
      </c>
      <c r="I66" s="6"/>
      <c r="J66" s="1">
        <f t="shared" si="28"/>
        <v>256</v>
      </c>
      <c r="K66" s="5">
        <v>108.5</v>
      </c>
      <c r="L66" s="25">
        <f t="shared" si="25"/>
        <v>9.2165898617511521E-3</v>
      </c>
      <c r="M66" s="6"/>
      <c r="N66" s="1">
        <f t="shared" si="29"/>
        <v>256</v>
      </c>
      <c r="O66" s="5">
        <v>108</v>
      </c>
      <c r="P66" s="25">
        <f t="shared" si="26"/>
        <v>9.2592592592592587E-3</v>
      </c>
    </row>
    <row r="67" spans="2:16" ht="15.75" thickBot="1" x14ac:dyDescent="0.3">
      <c r="B67" s="30" t="s">
        <v>9</v>
      </c>
      <c r="C67" s="31"/>
      <c r="D67" s="11" t="s">
        <v>10</v>
      </c>
      <c r="E67" s="6"/>
      <c r="F67" s="1">
        <f t="shared" si="27"/>
        <v>512</v>
      </c>
      <c r="G67" s="5">
        <v>65.900000000000006</v>
      </c>
      <c r="H67" s="25">
        <f t="shared" si="24"/>
        <v>1.5174506828528072E-2</v>
      </c>
      <c r="I67" s="6"/>
      <c r="J67" s="1">
        <f t="shared" si="28"/>
        <v>512</v>
      </c>
      <c r="K67" s="5">
        <v>119.3</v>
      </c>
      <c r="L67" s="25">
        <f t="shared" si="25"/>
        <v>8.3822296730930428E-3</v>
      </c>
      <c r="M67" s="6"/>
      <c r="N67" s="1">
        <f t="shared" si="29"/>
        <v>512</v>
      </c>
      <c r="O67" s="5">
        <v>111.7</v>
      </c>
      <c r="P67" s="25">
        <f t="shared" si="26"/>
        <v>8.9525514771709933E-3</v>
      </c>
    </row>
    <row r="68" spans="2:16" ht="15.75" thickBot="1" x14ac:dyDescent="0.3">
      <c r="B68" s="4" t="s">
        <v>3</v>
      </c>
      <c r="C68" s="4" t="s">
        <v>1</v>
      </c>
      <c r="D68" s="4" t="s">
        <v>17</v>
      </c>
      <c r="E68" s="6"/>
      <c r="F68" s="1">
        <f t="shared" si="27"/>
        <v>1024</v>
      </c>
      <c r="G68" s="5">
        <v>120</v>
      </c>
      <c r="H68" s="25">
        <f t="shared" si="24"/>
        <v>8.3333333333333332E-3</v>
      </c>
      <c r="I68" s="6"/>
      <c r="J68" s="1">
        <f t="shared" si="28"/>
        <v>1024</v>
      </c>
      <c r="K68" s="5">
        <v>108.8</v>
      </c>
      <c r="L68" s="25">
        <f t="shared" si="25"/>
        <v>9.1911764705882356E-3</v>
      </c>
      <c r="M68" s="6"/>
      <c r="N68" s="1">
        <f t="shared" si="29"/>
        <v>1024</v>
      </c>
      <c r="O68" s="5">
        <v>111.4</v>
      </c>
      <c r="P68" s="25">
        <f t="shared" si="26"/>
        <v>8.9766606822262122E-3</v>
      </c>
    </row>
    <row r="69" spans="2:16" ht="15.75" thickBot="1" x14ac:dyDescent="0.3">
      <c r="B69" s="15" t="s">
        <v>11</v>
      </c>
      <c r="C69" s="16">
        <v>31.1</v>
      </c>
      <c r="D69" s="27">
        <f>1/C69</f>
        <v>3.215434083601286E-2</v>
      </c>
      <c r="E69" s="6"/>
      <c r="F69" s="1">
        <f t="shared" si="27"/>
        <v>2048</v>
      </c>
      <c r="G69" s="5">
        <v>93.6</v>
      </c>
      <c r="H69" s="25">
        <f t="shared" si="24"/>
        <v>1.0683760683760684E-2</v>
      </c>
      <c r="I69" s="6"/>
      <c r="J69" s="1">
        <f t="shared" si="28"/>
        <v>2048</v>
      </c>
      <c r="K69" s="5">
        <v>106</v>
      </c>
      <c r="L69" s="25">
        <f t="shared" si="25"/>
        <v>9.433962264150943E-3</v>
      </c>
      <c r="M69" s="6"/>
      <c r="N69" s="1">
        <f t="shared" si="29"/>
        <v>2048</v>
      </c>
      <c r="O69" s="5">
        <v>110.7</v>
      </c>
      <c r="P69" s="25">
        <f t="shared" si="26"/>
        <v>9.0334236675700084E-3</v>
      </c>
    </row>
    <row r="70" spans="2:16" x14ac:dyDescent="0.25">
      <c r="B70" s="8"/>
      <c r="C70" s="6"/>
      <c r="D70" s="6"/>
      <c r="E70" s="6"/>
      <c r="F70" s="1">
        <f t="shared" si="27"/>
        <v>4096</v>
      </c>
      <c r="G70" s="5">
        <v>57.6</v>
      </c>
      <c r="H70" s="25">
        <f t="shared" si="24"/>
        <v>1.7361111111111112E-2</v>
      </c>
      <c r="I70" s="6"/>
      <c r="J70" s="1">
        <f t="shared" si="28"/>
        <v>4096</v>
      </c>
      <c r="K70" s="5">
        <v>70.8</v>
      </c>
      <c r="L70" s="25">
        <f t="shared" si="25"/>
        <v>1.4124293785310734E-2</v>
      </c>
      <c r="M70" s="6"/>
      <c r="N70" s="1">
        <f t="shared" si="29"/>
        <v>4096</v>
      </c>
      <c r="O70" s="5">
        <v>112.7</v>
      </c>
      <c r="P70" s="25">
        <f t="shared" si="26"/>
        <v>8.8731144631765749E-3</v>
      </c>
    </row>
    <row r="71" spans="2:16" x14ac:dyDescent="0.25">
      <c r="B71" s="8"/>
      <c r="C71" s="6"/>
      <c r="D71" s="6"/>
      <c r="E71" s="6"/>
      <c r="F71" s="1">
        <f t="shared" si="27"/>
        <v>8192</v>
      </c>
      <c r="G71" s="5">
        <v>31.3</v>
      </c>
      <c r="H71" s="25">
        <f t="shared" si="24"/>
        <v>3.1948881789137379E-2</v>
      </c>
      <c r="I71" s="6"/>
      <c r="J71" s="1">
        <f t="shared" si="28"/>
        <v>8192</v>
      </c>
      <c r="K71" s="5">
        <v>40.200000000000003</v>
      </c>
      <c r="L71" s="25">
        <f t="shared" si="25"/>
        <v>2.4875621890547261E-2</v>
      </c>
      <c r="M71" s="6"/>
      <c r="N71" s="1">
        <f t="shared" si="29"/>
        <v>8192</v>
      </c>
      <c r="O71" s="5">
        <v>110.6</v>
      </c>
      <c r="P71" s="25">
        <f t="shared" si="26"/>
        <v>9.0415913200723331E-3</v>
      </c>
    </row>
    <row r="72" spans="2:16" ht="15.75" thickBot="1" x14ac:dyDescent="0.3">
      <c r="B72" s="8"/>
      <c r="C72" s="6"/>
      <c r="D72" s="6"/>
      <c r="E72" s="6"/>
      <c r="F72" s="2">
        <f t="shared" si="27"/>
        <v>16384</v>
      </c>
      <c r="G72" s="5">
        <v>16</v>
      </c>
      <c r="H72" s="25">
        <f t="shared" si="24"/>
        <v>6.25E-2</v>
      </c>
      <c r="I72" s="6"/>
      <c r="J72" s="2">
        <f t="shared" si="28"/>
        <v>16384</v>
      </c>
      <c r="K72" s="5">
        <v>20.7</v>
      </c>
      <c r="L72" s="25">
        <f t="shared" si="25"/>
        <v>4.8309178743961352E-2</v>
      </c>
      <c r="M72" s="6"/>
      <c r="N72" s="2">
        <f t="shared" si="29"/>
        <v>16384</v>
      </c>
      <c r="O72" s="5">
        <v>112</v>
      </c>
      <c r="P72" s="25">
        <f t="shared" si="26"/>
        <v>8.9285714285714281E-3</v>
      </c>
    </row>
    <row r="73" spans="2:16" ht="15.75" thickBot="1" x14ac:dyDescent="0.3">
      <c r="B73" s="8"/>
      <c r="C73" s="6"/>
      <c r="D73" s="6"/>
      <c r="E73" s="6"/>
      <c r="F73" s="3" t="s">
        <v>0</v>
      </c>
      <c r="G73" s="4">
        <f>AVERAGE(G63:G72)</f>
        <v>81.349999999999994</v>
      </c>
      <c r="H73" s="26">
        <f>AVERAGE(H63:H72)</f>
        <v>1.8551601982121319E-2</v>
      </c>
      <c r="I73" s="6"/>
      <c r="J73" s="3" t="s">
        <v>0</v>
      </c>
      <c r="K73" s="4">
        <f>AVERAGE(K63:K72)</f>
        <v>91.53</v>
      </c>
      <c r="L73" s="26">
        <f>AVERAGE(L63:L72)</f>
        <v>1.4999481591812424E-2</v>
      </c>
      <c r="M73" s="6"/>
      <c r="N73" s="3" t="s">
        <v>0</v>
      </c>
      <c r="O73" s="4">
        <f>AVERAGE(O63:O72)</f>
        <v>108.22000000000003</v>
      </c>
      <c r="P73" s="26">
        <f>AVERAGE(P63:P72)</f>
        <v>9.3849523854886881E-3</v>
      </c>
    </row>
    <row r="74" spans="2:16" ht="24" thickBot="1" x14ac:dyDescent="0.4">
      <c r="B74" s="34" t="s">
        <v>47</v>
      </c>
      <c r="C74" s="35"/>
      <c r="D74" s="3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7"/>
    </row>
    <row r="75" spans="2:16" ht="15.75" thickBot="1" x14ac:dyDescent="0.3">
      <c r="B75" s="55" t="s">
        <v>21</v>
      </c>
      <c r="C75" s="56"/>
      <c r="D75" s="57" t="s">
        <v>22</v>
      </c>
      <c r="E75" s="18"/>
      <c r="F75" s="30" t="s">
        <v>7</v>
      </c>
      <c r="G75" s="31"/>
      <c r="H75" s="11" t="s">
        <v>10</v>
      </c>
      <c r="I75" s="6"/>
      <c r="J75" s="30" t="s">
        <v>8</v>
      </c>
      <c r="K75" s="31"/>
      <c r="L75" s="11" t="s">
        <v>10</v>
      </c>
      <c r="M75" s="6"/>
      <c r="N75" s="30" t="s">
        <v>2</v>
      </c>
      <c r="O75" s="31"/>
      <c r="P75" s="11" t="s">
        <v>10</v>
      </c>
    </row>
    <row r="76" spans="2:16" ht="15.75" thickBot="1" x14ac:dyDescent="0.3">
      <c r="B76" s="58" t="s">
        <v>48</v>
      </c>
      <c r="C76" s="59"/>
      <c r="D76" s="60">
        <v>16</v>
      </c>
      <c r="E76" s="18"/>
      <c r="F76" s="4" t="s">
        <v>3</v>
      </c>
      <c r="G76" s="4" t="s">
        <v>1</v>
      </c>
      <c r="H76" s="4" t="s">
        <v>17</v>
      </c>
      <c r="I76" s="6"/>
      <c r="J76" s="4" t="s">
        <v>3</v>
      </c>
      <c r="K76" s="4" t="s">
        <v>1</v>
      </c>
      <c r="L76" s="4" t="s">
        <v>17</v>
      </c>
      <c r="M76" s="6"/>
      <c r="N76" s="4" t="s">
        <v>3</v>
      </c>
      <c r="O76" s="4" t="s">
        <v>1</v>
      </c>
      <c r="P76" s="4" t="s">
        <v>17</v>
      </c>
    </row>
    <row r="77" spans="2:16" ht="15.75" thickBot="1" x14ac:dyDescent="0.3">
      <c r="B77" s="51" t="s">
        <v>49</v>
      </c>
      <c r="C77" s="52"/>
      <c r="D77" s="53">
        <v>24</v>
      </c>
      <c r="E77" s="18"/>
      <c r="F77" s="1">
        <f>16*2</f>
        <v>32</v>
      </c>
      <c r="G77" s="5">
        <v>38.1</v>
      </c>
      <c r="H77" s="25">
        <f t="shared" ref="H77:H86" si="30">1/G77</f>
        <v>2.6246719160104987E-2</v>
      </c>
      <c r="I77" s="6"/>
      <c r="J77" s="1">
        <f>16*2</f>
        <v>32</v>
      </c>
      <c r="K77" s="5">
        <v>38.4</v>
      </c>
      <c r="L77" s="25">
        <f t="shared" ref="L77:L86" si="31">1/K77</f>
        <v>2.6041666666666668E-2</v>
      </c>
      <c r="M77" s="6"/>
      <c r="N77" s="1">
        <f>16*2</f>
        <v>32</v>
      </c>
      <c r="O77" s="5">
        <v>37.6</v>
      </c>
      <c r="P77" s="25">
        <f t="shared" ref="P77:P86" si="32">1/O77</f>
        <v>2.6595744680851064E-2</v>
      </c>
    </row>
    <row r="78" spans="2:16" ht="15.75" thickBot="1" x14ac:dyDescent="0.3">
      <c r="B78" s="51" t="s">
        <v>50</v>
      </c>
      <c r="C78" s="52"/>
      <c r="D78" s="54" t="s">
        <v>36</v>
      </c>
      <c r="E78" s="6"/>
      <c r="F78" s="1">
        <f t="shared" ref="F78:F86" si="33">F77*2</f>
        <v>64</v>
      </c>
      <c r="G78" s="5">
        <v>37.200000000000003</v>
      </c>
      <c r="H78" s="25">
        <f t="shared" si="30"/>
        <v>2.6881720430107524E-2</v>
      </c>
      <c r="I78" s="6"/>
      <c r="J78" s="1">
        <f t="shared" ref="J78:J86" si="34">J77*2</f>
        <v>64</v>
      </c>
      <c r="K78" s="5">
        <v>33.9</v>
      </c>
      <c r="L78" s="25">
        <f t="shared" si="31"/>
        <v>2.9498525073746312E-2</v>
      </c>
      <c r="M78" s="6"/>
      <c r="N78" s="1">
        <f t="shared" ref="N78:N86" si="35">N77*2</f>
        <v>64</v>
      </c>
      <c r="O78" s="5">
        <v>35.4</v>
      </c>
      <c r="P78" s="25">
        <f t="shared" si="32"/>
        <v>2.8248587570621469E-2</v>
      </c>
    </row>
    <row r="79" spans="2:16" ht="15.75" thickBot="1" x14ac:dyDescent="0.3">
      <c r="B79" s="51" t="s">
        <v>51</v>
      </c>
      <c r="C79" s="52"/>
      <c r="D79" s="54" t="s">
        <v>37</v>
      </c>
      <c r="E79" s="6"/>
      <c r="F79" s="1">
        <f t="shared" si="33"/>
        <v>128</v>
      </c>
      <c r="G79" s="5">
        <v>38.299999999999997</v>
      </c>
      <c r="H79" s="25">
        <f t="shared" si="30"/>
        <v>2.6109660574412535E-2</v>
      </c>
      <c r="I79" s="6"/>
      <c r="J79" s="1">
        <f t="shared" si="34"/>
        <v>128</v>
      </c>
      <c r="K79" s="5">
        <v>37</v>
      </c>
      <c r="L79" s="25">
        <f t="shared" si="31"/>
        <v>2.7027027027027029E-2</v>
      </c>
      <c r="M79" s="6"/>
      <c r="N79" s="1">
        <f t="shared" si="35"/>
        <v>128</v>
      </c>
      <c r="O79" s="5">
        <v>35</v>
      </c>
      <c r="P79" s="25">
        <f t="shared" si="32"/>
        <v>2.8571428571428571E-2</v>
      </c>
    </row>
    <row r="80" spans="2:16" ht="15.75" thickBot="1" x14ac:dyDescent="0.3">
      <c r="B80" s="8"/>
      <c r="C80" s="6"/>
      <c r="D80" s="6"/>
      <c r="E80" s="6"/>
      <c r="F80" s="1">
        <f t="shared" si="33"/>
        <v>256</v>
      </c>
      <c r="G80" s="5">
        <v>37.799999999999997</v>
      </c>
      <c r="H80" s="25">
        <f t="shared" si="30"/>
        <v>2.6455026455026457E-2</v>
      </c>
      <c r="I80" s="6"/>
      <c r="J80" s="1">
        <f t="shared" si="34"/>
        <v>256</v>
      </c>
      <c r="K80" s="5">
        <v>37.799999999999997</v>
      </c>
      <c r="L80" s="25">
        <f t="shared" si="31"/>
        <v>2.6455026455026457E-2</v>
      </c>
      <c r="M80" s="6"/>
      <c r="N80" s="1">
        <f t="shared" si="35"/>
        <v>256</v>
      </c>
      <c r="O80" s="5">
        <v>36.5</v>
      </c>
      <c r="P80" s="25">
        <f t="shared" si="32"/>
        <v>2.7397260273972601E-2</v>
      </c>
    </row>
    <row r="81" spans="2:16" ht="24" thickBot="1" x14ac:dyDescent="0.4">
      <c r="B81" s="34" t="s">
        <v>46</v>
      </c>
      <c r="C81" s="35"/>
      <c r="D81" s="36"/>
      <c r="E81" s="6"/>
      <c r="F81" s="1">
        <f t="shared" si="33"/>
        <v>512</v>
      </c>
      <c r="G81" s="5">
        <v>34.200000000000003</v>
      </c>
      <c r="H81" s="25">
        <f t="shared" si="30"/>
        <v>2.9239766081871343E-2</v>
      </c>
      <c r="I81" s="6"/>
      <c r="J81" s="1">
        <f t="shared" si="34"/>
        <v>512</v>
      </c>
      <c r="K81" s="5">
        <v>35.5</v>
      </c>
      <c r="L81" s="25">
        <f t="shared" si="31"/>
        <v>2.8169014084507043E-2</v>
      </c>
      <c r="M81" s="6"/>
      <c r="N81" s="1">
        <f t="shared" si="35"/>
        <v>512</v>
      </c>
      <c r="O81" s="5">
        <v>35.6</v>
      </c>
      <c r="P81" s="25">
        <f t="shared" si="32"/>
        <v>2.8089887640449437E-2</v>
      </c>
    </row>
    <row r="82" spans="2:16" ht="15.75" thickBot="1" x14ac:dyDescent="0.3">
      <c r="B82" s="55" t="s">
        <v>21</v>
      </c>
      <c r="C82" s="56"/>
      <c r="D82" s="57" t="s">
        <v>22</v>
      </c>
      <c r="E82" s="6"/>
      <c r="F82" s="1">
        <f t="shared" si="33"/>
        <v>1024</v>
      </c>
      <c r="G82" s="5">
        <v>34.4</v>
      </c>
      <c r="H82" s="25">
        <f t="shared" si="30"/>
        <v>2.9069767441860465E-2</v>
      </c>
      <c r="I82" s="6"/>
      <c r="J82" s="1">
        <f t="shared" si="34"/>
        <v>1024</v>
      </c>
      <c r="K82" s="5">
        <v>34.200000000000003</v>
      </c>
      <c r="L82" s="25">
        <f t="shared" si="31"/>
        <v>2.9239766081871343E-2</v>
      </c>
      <c r="M82" s="6"/>
      <c r="N82" s="1">
        <f t="shared" si="35"/>
        <v>1024</v>
      </c>
      <c r="O82" s="5">
        <v>38.299999999999997</v>
      </c>
      <c r="P82" s="25">
        <f t="shared" si="32"/>
        <v>2.6109660574412535E-2</v>
      </c>
    </row>
    <row r="83" spans="2:16" ht="15.75" thickBot="1" x14ac:dyDescent="0.3">
      <c r="B83" s="58" t="s">
        <v>35</v>
      </c>
      <c r="C83" s="59"/>
      <c r="D83" s="60">
        <v>68</v>
      </c>
      <c r="E83" s="6"/>
      <c r="F83" s="1">
        <f t="shared" si="33"/>
        <v>2048</v>
      </c>
      <c r="G83" s="5">
        <v>31.8</v>
      </c>
      <c r="H83" s="25">
        <f t="shared" si="30"/>
        <v>3.1446540880503145E-2</v>
      </c>
      <c r="I83" s="6"/>
      <c r="J83" s="1">
        <f t="shared" si="34"/>
        <v>2048</v>
      </c>
      <c r="K83" s="5">
        <v>31.3</v>
      </c>
      <c r="L83" s="25">
        <f t="shared" si="31"/>
        <v>3.1948881789137379E-2</v>
      </c>
      <c r="M83" s="6"/>
      <c r="N83" s="1">
        <f t="shared" si="35"/>
        <v>2048</v>
      </c>
      <c r="O83" s="5">
        <v>34.4</v>
      </c>
      <c r="P83" s="25">
        <f t="shared" si="32"/>
        <v>2.9069767441860465E-2</v>
      </c>
    </row>
    <row r="84" spans="2:16" ht="15.75" thickBot="1" x14ac:dyDescent="0.3">
      <c r="B84" s="51" t="s">
        <v>50</v>
      </c>
      <c r="C84" s="52"/>
      <c r="D84" s="54" t="s">
        <v>41</v>
      </c>
      <c r="E84" s="6"/>
      <c r="F84" s="1">
        <f t="shared" si="33"/>
        <v>4096</v>
      </c>
      <c r="G84" s="5">
        <v>25.6</v>
      </c>
      <c r="H84" s="25">
        <f t="shared" si="30"/>
        <v>3.90625E-2</v>
      </c>
      <c r="I84" s="6"/>
      <c r="J84" s="1">
        <f t="shared" si="34"/>
        <v>4096</v>
      </c>
      <c r="K84" s="5">
        <v>26.7</v>
      </c>
      <c r="L84" s="25">
        <f t="shared" si="31"/>
        <v>3.7453183520599252E-2</v>
      </c>
      <c r="M84" s="6"/>
      <c r="N84" s="1">
        <f t="shared" si="35"/>
        <v>4096</v>
      </c>
      <c r="O84" s="5">
        <v>38.4</v>
      </c>
      <c r="P84" s="25">
        <f t="shared" si="32"/>
        <v>2.6041666666666668E-2</v>
      </c>
    </row>
    <row r="85" spans="2:16" ht="15.75" thickBot="1" x14ac:dyDescent="0.3">
      <c r="B85" s="51" t="s">
        <v>52</v>
      </c>
      <c r="C85" s="52"/>
      <c r="D85" s="54" t="s">
        <v>40</v>
      </c>
      <c r="E85" s="6"/>
      <c r="F85" s="1">
        <f t="shared" si="33"/>
        <v>8192</v>
      </c>
      <c r="G85" s="5">
        <v>19</v>
      </c>
      <c r="H85" s="25">
        <f t="shared" si="30"/>
        <v>5.2631578947368418E-2</v>
      </c>
      <c r="I85" s="6"/>
      <c r="J85" s="1">
        <f t="shared" si="34"/>
        <v>8192</v>
      </c>
      <c r="K85" s="5">
        <v>19.899999999999999</v>
      </c>
      <c r="L85" s="25">
        <f t="shared" si="31"/>
        <v>5.0251256281407038E-2</v>
      </c>
      <c r="M85" s="6"/>
      <c r="N85" s="1">
        <f t="shared" si="35"/>
        <v>8192</v>
      </c>
      <c r="O85" s="5">
        <v>39.5</v>
      </c>
      <c r="P85" s="25">
        <f t="shared" si="32"/>
        <v>2.5316455696202531E-2</v>
      </c>
    </row>
    <row r="86" spans="2:16" ht="15.75" thickBot="1" x14ac:dyDescent="0.3">
      <c r="B86" s="51" t="s">
        <v>53</v>
      </c>
      <c r="C86" s="52"/>
      <c r="D86" s="54" t="s">
        <v>38</v>
      </c>
      <c r="E86" s="6"/>
      <c r="F86" s="2">
        <f t="shared" si="33"/>
        <v>16384</v>
      </c>
      <c r="G86" s="5">
        <v>12.3</v>
      </c>
      <c r="H86" s="25">
        <f t="shared" si="30"/>
        <v>8.1300813008130079E-2</v>
      </c>
      <c r="I86" s="6"/>
      <c r="J86" s="2">
        <f t="shared" si="34"/>
        <v>16384</v>
      </c>
      <c r="K86" s="5">
        <v>13.8</v>
      </c>
      <c r="L86" s="25">
        <f t="shared" si="31"/>
        <v>7.2463768115942032E-2</v>
      </c>
      <c r="M86" s="6"/>
      <c r="N86" s="2">
        <f t="shared" si="35"/>
        <v>16384</v>
      </c>
      <c r="O86" s="5">
        <v>38.4</v>
      </c>
      <c r="P86" s="25">
        <f t="shared" si="32"/>
        <v>2.6041666666666668E-2</v>
      </c>
    </row>
    <row r="87" spans="2:16" ht="15.75" thickBot="1" x14ac:dyDescent="0.3">
      <c r="B87" s="51" t="s">
        <v>54</v>
      </c>
      <c r="C87" s="52"/>
      <c r="D87" s="54" t="s">
        <v>39</v>
      </c>
      <c r="E87" s="10"/>
      <c r="F87" s="3" t="s">
        <v>0</v>
      </c>
      <c r="G87" s="4">
        <f>AVERAGE(G77:G86)</f>
        <v>30.870000000000005</v>
      </c>
      <c r="H87" s="26">
        <f>AVERAGE(H77:H86)</f>
        <v>3.6844409297938495E-2</v>
      </c>
      <c r="I87" s="10"/>
      <c r="J87" s="3" t="s">
        <v>0</v>
      </c>
      <c r="K87" s="4">
        <f>AVERAGE(K77:K86)</f>
        <v>30.85</v>
      </c>
      <c r="L87" s="26">
        <f>AVERAGE(L77:L86)</f>
        <v>3.5854811509593056E-2</v>
      </c>
      <c r="M87" s="10"/>
      <c r="N87" s="3" t="s">
        <v>0</v>
      </c>
      <c r="O87" s="4">
        <f>AVERAGE(O77:O86)</f>
        <v>36.909999999999997</v>
      </c>
      <c r="P87" s="26">
        <f>AVERAGE(P77:P86)</f>
        <v>2.7148212578313197E-2</v>
      </c>
    </row>
    <row r="88" spans="2:16" ht="15.75" thickBot="1" x14ac:dyDescent="0.3"/>
    <row r="89" spans="2:16" ht="24" thickBot="1" x14ac:dyDescent="0.4">
      <c r="B89" s="34" t="s">
        <v>13</v>
      </c>
      <c r="C89" s="35"/>
      <c r="D89" s="36"/>
      <c r="E89" s="45" t="s">
        <v>20</v>
      </c>
      <c r="F89" s="46"/>
      <c r="G89" s="46"/>
      <c r="H89" s="46"/>
      <c r="I89" s="47"/>
    </row>
    <row r="90" spans="2:16" ht="15.75" thickBot="1" x14ac:dyDescent="0.3">
      <c r="B90" s="19"/>
      <c r="C90" s="9"/>
      <c r="D90" s="9"/>
      <c r="E90" s="9"/>
      <c r="F90" s="30" t="s">
        <v>7</v>
      </c>
      <c r="G90" s="31"/>
      <c r="H90" s="11" t="s">
        <v>9</v>
      </c>
      <c r="I90" s="9"/>
      <c r="J90" s="30" t="s">
        <v>8</v>
      </c>
      <c r="K90" s="31"/>
      <c r="L90" s="11" t="s">
        <v>9</v>
      </c>
      <c r="M90" s="9"/>
      <c r="N90" s="30" t="s">
        <v>2</v>
      </c>
      <c r="O90" s="31"/>
      <c r="P90" s="11" t="s">
        <v>9</v>
      </c>
    </row>
    <row r="91" spans="2:16" ht="15.75" thickBot="1" x14ac:dyDescent="0.3">
      <c r="B91" s="8"/>
      <c r="C91" s="6"/>
      <c r="D91" s="6"/>
      <c r="E91" s="6"/>
      <c r="F91" s="4" t="s">
        <v>3</v>
      </c>
      <c r="G91" s="4" t="s">
        <v>1</v>
      </c>
      <c r="H91" s="4" t="s">
        <v>17</v>
      </c>
      <c r="I91" s="6"/>
      <c r="J91" s="4" t="s">
        <v>3</v>
      </c>
      <c r="K91" s="4" t="s">
        <v>1</v>
      </c>
      <c r="L91" s="4" t="s">
        <v>17</v>
      </c>
      <c r="M91" s="6"/>
      <c r="N91" s="4" t="s">
        <v>3</v>
      </c>
      <c r="O91" s="4" t="s">
        <v>1</v>
      </c>
      <c r="P91" s="4" t="s">
        <v>17</v>
      </c>
    </row>
    <row r="92" spans="2:16" ht="15.75" thickBot="1" x14ac:dyDescent="0.3">
      <c r="B92" s="30" t="s">
        <v>9</v>
      </c>
      <c r="C92" s="31"/>
      <c r="D92" s="11" t="s">
        <v>9</v>
      </c>
      <c r="E92" s="18"/>
      <c r="F92" s="1">
        <f>16*2</f>
        <v>32</v>
      </c>
      <c r="G92" s="5">
        <v>120.6</v>
      </c>
      <c r="H92" s="25">
        <f t="shared" ref="H92:H101" si="36">1/G92</f>
        <v>8.291873963515755E-3</v>
      </c>
      <c r="I92" s="6"/>
      <c r="J92" s="1">
        <f>16*2</f>
        <v>32</v>
      </c>
      <c r="K92" s="5">
        <v>86.3</v>
      </c>
      <c r="L92" s="25">
        <f t="shared" ref="L92:L101" si="37">1/K92</f>
        <v>1.1587485515643106E-2</v>
      </c>
      <c r="M92" s="6"/>
      <c r="N92" s="1">
        <f>16*2</f>
        <v>32</v>
      </c>
      <c r="O92" s="5">
        <v>120.1</v>
      </c>
      <c r="P92" s="25">
        <f t="shared" ref="P92:P101" si="38">1/O92</f>
        <v>8.3263946711074101E-3</v>
      </c>
    </row>
    <row r="93" spans="2:16" ht="15.75" thickBot="1" x14ac:dyDescent="0.3">
      <c r="B93" s="4" t="s">
        <v>3</v>
      </c>
      <c r="C93" s="4" t="s">
        <v>1</v>
      </c>
      <c r="D93" s="4" t="s">
        <v>17</v>
      </c>
      <c r="E93" s="18"/>
      <c r="F93" s="1">
        <f t="shared" ref="F93:F101" si="39">F92*2</f>
        <v>64</v>
      </c>
      <c r="G93" s="5">
        <v>119.8</v>
      </c>
      <c r="H93" s="25">
        <f t="shared" si="36"/>
        <v>8.3472454090150246E-3</v>
      </c>
      <c r="I93" s="6"/>
      <c r="J93" s="1">
        <f t="shared" ref="J93:J101" si="40">J92*2</f>
        <v>64</v>
      </c>
      <c r="K93" s="5">
        <v>119.8</v>
      </c>
      <c r="L93" s="25">
        <f t="shared" si="37"/>
        <v>8.3472454090150246E-3</v>
      </c>
      <c r="M93" s="6"/>
      <c r="N93" s="1">
        <f t="shared" ref="N93:N101" si="41">N92*2</f>
        <v>64</v>
      </c>
      <c r="O93" s="5">
        <v>120.2</v>
      </c>
      <c r="P93" s="25">
        <f t="shared" si="38"/>
        <v>8.3194675540765387E-3</v>
      </c>
    </row>
    <row r="94" spans="2:16" ht="15.75" thickBot="1" x14ac:dyDescent="0.3">
      <c r="B94" s="15" t="s">
        <v>11</v>
      </c>
      <c r="C94" s="16">
        <v>120</v>
      </c>
      <c r="D94" s="27">
        <f>1/C94</f>
        <v>8.3333333333333332E-3</v>
      </c>
      <c r="E94" s="18"/>
      <c r="F94" s="1">
        <f t="shared" si="39"/>
        <v>128</v>
      </c>
      <c r="G94" s="5">
        <v>119.9</v>
      </c>
      <c r="H94" s="25">
        <f t="shared" si="36"/>
        <v>8.3402835696413675E-3</v>
      </c>
      <c r="I94" s="6"/>
      <c r="J94" s="1">
        <f t="shared" si="40"/>
        <v>128</v>
      </c>
      <c r="K94" s="5">
        <v>120.6</v>
      </c>
      <c r="L94" s="25">
        <f t="shared" si="37"/>
        <v>8.291873963515755E-3</v>
      </c>
      <c r="M94" s="6"/>
      <c r="N94" s="1">
        <f t="shared" si="41"/>
        <v>128</v>
      </c>
      <c r="O94" s="5">
        <v>112.4</v>
      </c>
      <c r="P94" s="25">
        <f t="shared" si="38"/>
        <v>8.8967971530249101E-3</v>
      </c>
    </row>
    <row r="95" spans="2:16" ht="15.75" thickBot="1" x14ac:dyDescent="0.3">
      <c r="B95" s="8"/>
      <c r="C95" s="6"/>
      <c r="D95" s="6"/>
      <c r="E95" s="6"/>
      <c r="F95" s="1">
        <f t="shared" si="39"/>
        <v>256</v>
      </c>
      <c r="G95" s="5">
        <v>120.7</v>
      </c>
      <c r="H95" s="25">
        <f t="shared" si="36"/>
        <v>8.2850041425020712E-3</v>
      </c>
      <c r="I95" s="6"/>
      <c r="J95" s="1">
        <f t="shared" si="40"/>
        <v>256</v>
      </c>
      <c r="K95" s="5">
        <v>119.8</v>
      </c>
      <c r="L95" s="25">
        <f t="shared" si="37"/>
        <v>8.3472454090150246E-3</v>
      </c>
      <c r="M95" s="6"/>
      <c r="N95" s="1">
        <f t="shared" si="41"/>
        <v>256</v>
      </c>
      <c r="O95" s="5">
        <v>120.4</v>
      </c>
      <c r="P95" s="25">
        <f t="shared" si="38"/>
        <v>8.3056478405315604E-3</v>
      </c>
    </row>
    <row r="96" spans="2:16" ht="15.75" thickBot="1" x14ac:dyDescent="0.3">
      <c r="B96" s="30" t="s">
        <v>9</v>
      </c>
      <c r="C96" s="31"/>
      <c r="D96" s="11" t="s">
        <v>10</v>
      </c>
      <c r="E96" s="6"/>
      <c r="F96" s="1">
        <f t="shared" si="39"/>
        <v>512</v>
      </c>
      <c r="G96" s="5">
        <v>120.2</v>
      </c>
      <c r="H96" s="25">
        <f t="shared" si="36"/>
        <v>8.3194675540765387E-3</v>
      </c>
      <c r="I96" s="6"/>
      <c r="J96" s="1">
        <f t="shared" si="40"/>
        <v>512</v>
      </c>
      <c r="K96" s="5">
        <v>119.8</v>
      </c>
      <c r="L96" s="25">
        <f t="shared" si="37"/>
        <v>8.3472454090150246E-3</v>
      </c>
      <c r="M96" s="6"/>
      <c r="N96" s="1">
        <f t="shared" si="41"/>
        <v>512</v>
      </c>
      <c r="O96" s="5">
        <v>109.7</v>
      </c>
      <c r="P96" s="25">
        <f t="shared" si="38"/>
        <v>9.1157702825888781E-3</v>
      </c>
    </row>
    <row r="97" spans="2:16" ht="15.75" thickBot="1" x14ac:dyDescent="0.3">
      <c r="B97" s="4" t="s">
        <v>3</v>
      </c>
      <c r="C97" s="4" t="s">
        <v>1</v>
      </c>
      <c r="D97" s="4" t="s">
        <v>17</v>
      </c>
      <c r="E97" s="6"/>
      <c r="F97" s="1">
        <f t="shared" si="39"/>
        <v>1024</v>
      </c>
      <c r="G97" s="5">
        <v>120.3</v>
      </c>
      <c r="H97" s="25">
        <f t="shared" si="36"/>
        <v>8.3125519534497094E-3</v>
      </c>
      <c r="I97" s="6"/>
      <c r="J97" s="1">
        <f t="shared" si="40"/>
        <v>1024</v>
      </c>
      <c r="K97" s="5">
        <v>120.8</v>
      </c>
      <c r="L97" s="25">
        <f t="shared" si="37"/>
        <v>8.2781456953642391E-3</v>
      </c>
      <c r="M97" s="6"/>
      <c r="N97" s="1">
        <f t="shared" si="41"/>
        <v>1024</v>
      </c>
      <c r="O97" s="5">
        <v>112.1</v>
      </c>
      <c r="P97" s="25">
        <f t="shared" si="38"/>
        <v>8.9206066012488851E-3</v>
      </c>
    </row>
    <row r="98" spans="2:16" ht="15.75" thickBot="1" x14ac:dyDescent="0.3">
      <c r="B98" s="15" t="s">
        <v>11</v>
      </c>
      <c r="C98" s="16">
        <v>41.3</v>
      </c>
      <c r="D98" s="27">
        <f>1/C98</f>
        <v>2.4213075060532691E-2</v>
      </c>
      <c r="E98" s="6"/>
      <c r="F98" s="1">
        <f t="shared" si="39"/>
        <v>2048</v>
      </c>
      <c r="G98" s="5">
        <v>100.4</v>
      </c>
      <c r="H98" s="25">
        <f t="shared" si="36"/>
        <v>9.9601593625498006E-3</v>
      </c>
      <c r="I98" s="6"/>
      <c r="J98" s="1">
        <f t="shared" si="40"/>
        <v>2048</v>
      </c>
      <c r="K98" s="5">
        <v>117.9</v>
      </c>
      <c r="L98" s="25">
        <f t="shared" si="37"/>
        <v>8.4817642069550461E-3</v>
      </c>
      <c r="M98" s="6"/>
      <c r="N98" s="1">
        <f t="shared" si="41"/>
        <v>2048</v>
      </c>
      <c r="O98" s="5">
        <v>111.8</v>
      </c>
      <c r="P98" s="25">
        <f t="shared" si="38"/>
        <v>8.9445438282647581E-3</v>
      </c>
    </row>
    <row r="99" spans="2:16" x14ac:dyDescent="0.25">
      <c r="B99" s="8"/>
      <c r="C99" s="6"/>
      <c r="D99" s="6"/>
      <c r="E99" s="6"/>
      <c r="F99" s="1">
        <f t="shared" si="39"/>
        <v>4096</v>
      </c>
      <c r="G99" s="5">
        <v>57.3</v>
      </c>
      <c r="H99" s="25">
        <f t="shared" si="36"/>
        <v>1.7452006980802792E-2</v>
      </c>
      <c r="I99" s="6"/>
      <c r="J99" s="1">
        <f t="shared" si="40"/>
        <v>4096</v>
      </c>
      <c r="K99" s="5">
        <v>72.900000000000006</v>
      </c>
      <c r="L99" s="25">
        <f>1/K99</f>
        <v>1.3717421124828532E-2</v>
      </c>
      <c r="M99" s="6"/>
      <c r="N99" s="1">
        <f t="shared" si="41"/>
        <v>4096</v>
      </c>
      <c r="O99" s="5">
        <v>120.1</v>
      </c>
      <c r="P99" s="25">
        <f t="shared" si="38"/>
        <v>8.3263946711074101E-3</v>
      </c>
    </row>
    <row r="100" spans="2:16" x14ac:dyDescent="0.25">
      <c r="B100" s="8"/>
      <c r="C100" s="6"/>
      <c r="D100" s="6"/>
      <c r="E100" s="6"/>
      <c r="F100" s="1">
        <f t="shared" si="39"/>
        <v>8192</v>
      </c>
      <c r="G100" s="5">
        <v>30.6</v>
      </c>
      <c r="H100" s="25">
        <f t="shared" si="36"/>
        <v>3.2679738562091505E-2</v>
      </c>
      <c r="I100" s="6"/>
      <c r="J100" s="1">
        <f t="shared" si="40"/>
        <v>8192</v>
      </c>
      <c r="K100" s="5">
        <v>40.9</v>
      </c>
      <c r="L100" s="25">
        <f>1/K100</f>
        <v>2.4449877750611249E-2</v>
      </c>
      <c r="M100" s="6"/>
      <c r="N100" s="1">
        <f t="shared" si="41"/>
        <v>8192</v>
      </c>
      <c r="O100" s="5">
        <v>120.8</v>
      </c>
      <c r="P100" s="25">
        <f t="shared" si="38"/>
        <v>8.2781456953642391E-3</v>
      </c>
    </row>
    <row r="101" spans="2:16" ht="15.75" thickBot="1" x14ac:dyDescent="0.3">
      <c r="B101" s="8"/>
      <c r="C101" s="6"/>
      <c r="D101" s="6"/>
      <c r="E101" s="6"/>
      <c r="F101" s="2">
        <f t="shared" si="39"/>
        <v>16384</v>
      </c>
      <c r="G101" s="5">
        <v>15</v>
      </c>
      <c r="H101" s="25">
        <f t="shared" si="36"/>
        <v>6.6666666666666666E-2</v>
      </c>
      <c r="I101" s="6"/>
      <c r="J101" s="2">
        <f t="shared" si="40"/>
        <v>16384</v>
      </c>
      <c r="K101" s="5">
        <v>21.4</v>
      </c>
      <c r="L101" s="25">
        <f t="shared" si="37"/>
        <v>4.6728971962616828E-2</v>
      </c>
      <c r="M101" s="6"/>
      <c r="N101" s="2">
        <f t="shared" si="41"/>
        <v>16384</v>
      </c>
      <c r="O101" s="5">
        <v>120</v>
      </c>
      <c r="P101" s="25">
        <f t="shared" si="38"/>
        <v>8.3333333333333332E-3</v>
      </c>
    </row>
    <row r="102" spans="2:16" ht="15.75" thickBot="1" x14ac:dyDescent="0.3">
      <c r="B102" s="8"/>
      <c r="C102" s="6"/>
      <c r="D102" s="6"/>
      <c r="E102" s="6"/>
      <c r="F102" s="3" t="s">
        <v>0</v>
      </c>
      <c r="G102" s="4">
        <f>AVERAGE(G92:G101)</f>
        <v>92.47999999999999</v>
      </c>
      <c r="H102" s="26">
        <f>AVERAGE(H92:H101)</f>
        <v>1.7665499816431125E-2</v>
      </c>
      <c r="I102" s="6"/>
      <c r="J102" s="3" t="s">
        <v>0</v>
      </c>
      <c r="K102" s="4">
        <f>AVERAGE(K92:K101)</f>
        <v>94.019999999999982</v>
      </c>
      <c r="L102" s="26">
        <f>AVERAGE(L92:L101)</f>
        <v>1.4657727644657984E-2</v>
      </c>
      <c r="M102" s="6"/>
      <c r="N102" s="3" t="s">
        <v>0</v>
      </c>
      <c r="O102" s="4">
        <f>AVERAGE(O92:O101)</f>
        <v>116.76000000000002</v>
      </c>
      <c r="P102" s="26">
        <f>AVERAGE(P92:P101)</f>
        <v>8.5767101630647921E-3</v>
      </c>
    </row>
    <row r="103" spans="2:16" ht="24" thickBot="1" x14ac:dyDescent="0.4">
      <c r="B103" s="34" t="s">
        <v>47</v>
      </c>
      <c r="C103" s="35"/>
      <c r="D103" s="3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7"/>
    </row>
    <row r="104" spans="2:16" ht="15.75" thickBot="1" x14ac:dyDescent="0.3">
      <c r="B104" s="55" t="s">
        <v>21</v>
      </c>
      <c r="C104" s="56"/>
      <c r="D104" s="57" t="s">
        <v>22</v>
      </c>
      <c r="E104" s="18"/>
      <c r="F104" s="30" t="s">
        <v>7</v>
      </c>
      <c r="G104" s="31"/>
      <c r="H104" s="11" t="s">
        <v>10</v>
      </c>
      <c r="I104" s="6"/>
      <c r="J104" s="30" t="s">
        <v>8</v>
      </c>
      <c r="K104" s="31"/>
      <c r="L104" s="11" t="s">
        <v>10</v>
      </c>
      <c r="M104" s="6"/>
      <c r="N104" s="30" t="s">
        <v>2</v>
      </c>
      <c r="O104" s="31"/>
      <c r="P104" s="11" t="s">
        <v>10</v>
      </c>
    </row>
    <row r="105" spans="2:16" ht="15.75" thickBot="1" x14ac:dyDescent="0.3">
      <c r="B105" s="58" t="s">
        <v>48</v>
      </c>
      <c r="C105" s="59"/>
      <c r="D105" s="60">
        <v>16</v>
      </c>
      <c r="E105" s="18"/>
      <c r="F105" s="4" t="s">
        <v>3</v>
      </c>
      <c r="G105" s="4" t="s">
        <v>1</v>
      </c>
      <c r="H105" s="26" t="s">
        <v>17</v>
      </c>
      <c r="I105" s="6"/>
      <c r="J105" s="4" t="s">
        <v>3</v>
      </c>
      <c r="K105" s="4" t="s">
        <v>1</v>
      </c>
      <c r="L105" s="26" t="s">
        <v>17</v>
      </c>
      <c r="M105" s="6"/>
      <c r="N105" s="4" t="s">
        <v>3</v>
      </c>
      <c r="O105" s="4" t="s">
        <v>1</v>
      </c>
      <c r="P105" s="26" t="s">
        <v>17</v>
      </c>
    </row>
    <row r="106" spans="2:16" ht="15.75" thickBot="1" x14ac:dyDescent="0.3">
      <c r="B106" s="51" t="s">
        <v>49</v>
      </c>
      <c r="C106" s="52"/>
      <c r="D106" s="53">
        <v>24</v>
      </c>
      <c r="E106" s="18"/>
      <c r="F106" s="1">
        <f>16*2</f>
        <v>32</v>
      </c>
      <c r="G106" s="5">
        <v>41.4</v>
      </c>
      <c r="H106" s="25">
        <f t="shared" ref="H106:H115" si="42">1/G106</f>
        <v>2.4154589371980676E-2</v>
      </c>
      <c r="I106" s="6"/>
      <c r="J106" s="1">
        <f>16*2</f>
        <v>32</v>
      </c>
      <c r="K106" s="5">
        <v>41.7</v>
      </c>
      <c r="L106" s="25">
        <f t="shared" ref="L106:L115" si="43">1/K106</f>
        <v>2.3980815347721823E-2</v>
      </c>
      <c r="M106" s="6"/>
      <c r="N106" s="1">
        <f>16*2</f>
        <v>32</v>
      </c>
      <c r="O106" s="5">
        <v>41.2</v>
      </c>
      <c r="P106" s="25">
        <f t="shared" ref="P106:P115" si="44">1/O106</f>
        <v>2.4271844660194174E-2</v>
      </c>
    </row>
    <row r="107" spans="2:16" ht="15.75" thickBot="1" x14ac:dyDescent="0.3">
      <c r="B107" s="51" t="s">
        <v>50</v>
      </c>
      <c r="C107" s="52"/>
      <c r="D107" s="54" t="s">
        <v>36</v>
      </c>
      <c r="E107" s="6"/>
      <c r="F107" s="1">
        <f t="shared" ref="F107:F115" si="45">F106*2</f>
        <v>64</v>
      </c>
      <c r="G107" s="5">
        <v>40.799999999999997</v>
      </c>
      <c r="H107" s="25">
        <f t="shared" si="42"/>
        <v>2.4509803921568631E-2</v>
      </c>
      <c r="I107" s="6"/>
      <c r="J107" s="1">
        <f t="shared" ref="J107:J115" si="46">J106*2</f>
        <v>64</v>
      </c>
      <c r="K107" s="5">
        <v>40.1</v>
      </c>
      <c r="L107" s="25">
        <f t="shared" si="43"/>
        <v>2.4937655860349125E-2</v>
      </c>
      <c r="M107" s="6"/>
      <c r="N107" s="1">
        <f t="shared" ref="N107:N115" si="47">N106*2</f>
        <v>64</v>
      </c>
      <c r="O107" s="5">
        <v>41.6</v>
      </c>
      <c r="P107" s="25">
        <f t="shared" si="44"/>
        <v>2.4038461538461536E-2</v>
      </c>
    </row>
    <row r="108" spans="2:16" ht="15.75" thickBot="1" x14ac:dyDescent="0.3">
      <c r="B108" s="51" t="s">
        <v>51</v>
      </c>
      <c r="C108" s="52"/>
      <c r="D108" s="54" t="s">
        <v>37</v>
      </c>
      <c r="E108" s="6"/>
      <c r="F108" s="1">
        <f t="shared" si="45"/>
        <v>128</v>
      </c>
      <c r="G108" s="5">
        <v>40.6</v>
      </c>
      <c r="H108" s="25">
        <f t="shared" si="42"/>
        <v>2.463054187192118E-2</v>
      </c>
      <c r="I108" s="6"/>
      <c r="J108" s="1">
        <f t="shared" si="46"/>
        <v>128</v>
      </c>
      <c r="K108" s="5">
        <v>39.799999999999997</v>
      </c>
      <c r="L108" s="25">
        <f t="shared" si="43"/>
        <v>2.5125628140703519E-2</v>
      </c>
      <c r="M108" s="6"/>
      <c r="N108" s="1">
        <f t="shared" si="47"/>
        <v>128</v>
      </c>
      <c r="O108" s="5">
        <v>39.6</v>
      </c>
      <c r="P108" s="25">
        <f t="shared" si="44"/>
        <v>2.5252525252525252E-2</v>
      </c>
    </row>
    <row r="109" spans="2:16" ht="15.75" thickBot="1" x14ac:dyDescent="0.3">
      <c r="B109" s="8"/>
      <c r="C109" s="6"/>
      <c r="D109" s="6"/>
      <c r="E109" s="6"/>
      <c r="F109" s="1">
        <f t="shared" si="45"/>
        <v>256</v>
      </c>
      <c r="G109" s="5">
        <v>39.799999999999997</v>
      </c>
      <c r="H109" s="25">
        <f t="shared" si="42"/>
        <v>2.5125628140703519E-2</v>
      </c>
      <c r="I109" s="6"/>
      <c r="J109" s="1">
        <f t="shared" si="46"/>
        <v>256</v>
      </c>
      <c r="K109" s="5">
        <v>39.299999999999997</v>
      </c>
      <c r="L109" s="25">
        <f t="shared" si="43"/>
        <v>2.5445292620865142E-2</v>
      </c>
      <c r="M109" s="6"/>
      <c r="N109" s="1">
        <f t="shared" si="47"/>
        <v>256</v>
      </c>
      <c r="O109" s="5">
        <v>41.4</v>
      </c>
      <c r="P109" s="25">
        <f t="shared" si="44"/>
        <v>2.4154589371980676E-2</v>
      </c>
    </row>
    <row r="110" spans="2:16" ht="24" thickBot="1" x14ac:dyDescent="0.4">
      <c r="B110" s="34" t="s">
        <v>46</v>
      </c>
      <c r="C110" s="35"/>
      <c r="D110" s="36"/>
      <c r="E110" s="6"/>
      <c r="F110" s="1">
        <f t="shared" si="45"/>
        <v>512</v>
      </c>
      <c r="G110" s="5">
        <v>38.1</v>
      </c>
      <c r="H110" s="25">
        <f t="shared" si="42"/>
        <v>2.6246719160104987E-2</v>
      </c>
      <c r="I110" s="6"/>
      <c r="J110" s="1">
        <f t="shared" si="46"/>
        <v>512</v>
      </c>
      <c r="K110" s="5">
        <v>38.9</v>
      </c>
      <c r="L110" s="25">
        <f t="shared" si="43"/>
        <v>2.570694087403599E-2</v>
      </c>
      <c r="M110" s="6"/>
      <c r="N110" s="1">
        <f t="shared" si="47"/>
        <v>512</v>
      </c>
      <c r="O110" s="5">
        <v>41</v>
      </c>
      <c r="P110" s="25">
        <f t="shared" si="44"/>
        <v>2.4390243902439025E-2</v>
      </c>
    </row>
    <row r="111" spans="2:16" ht="15.75" thickBot="1" x14ac:dyDescent="0.3">
      <c r="B111" s="55" t="s">
        <v>21</v>
      </c>
      <c r="C111" s="56"/>
      <c r="D111" s="57" t="s">
        <v>22</v>
      </c>
      <c r="E111" s="6"/>
      <c r="F111" s="1">
        <f t="shared" si="45"/>
        <v>1024</v>
      </c>
      <c r="G111" s="5">
        <v>35.5</v>
      </c>
      <c r="H111" s="25">
        <f t="shared" si="42"/>
        <v>2.8169014084507043E-2</v>
      </c>
      <c r="I111" s="6"/>
      <c r="J111" s="1">
        <f t="shared" si="46"/>
        <v>1024</v>
      </c>
      <c r="K111" s="5">
        <v>36.4</v>
      </c>
      <c r="L111" s="25">
        <f t="shared" si="43"/>
        <v>2.7472527472527472E-2</v>
      </c>
      <c r="M111" s="6"/>
      <c r="N111" s="1">
        <f t="shared" si="47"/>
        <v>1024</v>
      </c>
      <c r="O111" s="5">
        <v>41.1</v>
      </c>
      <c r="P111" s="25">
        <f t="shared" si="44"/>
        <v>2.4330900243309E-2</v>
      </c>
    </row>
    <row r="112" spans="2:16" ht="15.75" thickBot="1" x14ac:dyDescent="0.3">
      <c r="B112" s="58" t="s">
        <v>35</v>
      </c>
      <c r="C112" s="59"/>
      <c r="D112" s="60">
        <v>68</v>
      </c>
      <c r="E112" s="6"/>
      <c r="F112" s="1">
        <f t="shared" si="45"/>
        <v>2048</v>
      </c>
      <c r="G112" s="5">
        <v>32</v>
      </c>
      <c r="H112" s="25">
        <f t="shared" si="42"/>
        <v>3.125E-2</v>
      </c>
      <c r="I112" s="6"/>
      <c r="J112" s="1">
        <f t="shared" si="46"/>
        <v>2048</v>
      </c>
      <c r="K112" s="5">
        <v>33.799999999999997</v>
      </c>
      <c r="L112" s="25">
        <f t="shared" si="43"/>
        <v>2.9585798816568049E-2</v>
      </c>
      <c r="M112" s="6"/>
      <c r="N112" s="1">
        <f t="shared" si="47"/>
        <v>2048</v>
      </c>
      <c r="O112" s="5">
        <v>40.9</v>
      </c>
      <c r="P112" s="25">
        <f t="shared" si="44"/>
        <v>2.4449877750611249E-2</v>
      </c>
    </row>
    <row r="113" spans="2:16" ht="15.75" thickBot="1" x14ac:dyDescent="0.3">
      <c r="B113" s="51" t="s">
        <v>50</v>
      </c>
      <c r="C113" s="52"/>
      <c r="D113" s="54" t="s">
        <v>41</v>
      </c>
      <c r="E113" s="6"/>
      <c r="F113" s="1">
        <f t="shared" si="45"/>
        <v>4096</v>
      </c>
      <c r="G113" s="5">
        <v>26.1</v>
      </c>
      <c r="H113" s="25">
        <f t="shared" si="42"/>
        <v>3.8314176245210725E-2</v>
      </c>
      <c r="I113" s="6"/>
      <c r="J113" s="1">
        <f t="shared" si="46"/>
        <v>4096</v>
      </c>
      <c r="K113" s="5">
        <v>27.4</v>
      </c>
      <c r="L113" s="25">
        <f t="shared" si="43"/>
        <v>3.6496350364963508E-2</v>
      </c>
      <c r="M113" s="6"/>
      <c r="N113" s="1">
        <f t="shared" si="47"/>
        <v>4096</v>
      </c>
      <c r="O113" s="5">
        <v>41.1</v>
      </c>
      <c r="P113" s="25">
        <f t="shared" si="44"/>
        <v>2.4330900243309E-2</v>
      </c>
    </row>
    <row r="114" spans="2:16" ht="15.75" thickBot="1" x14ac:dyDescent="0.3">
      <c r="B114" s="51" t="s">
        <v>52</v>
      </c>
      <c r="C114" s="52"/>
      <c r="D114" s="54" t="s">
        <v>40</v>
      </c>
      <c r="E114" s="6"/>
      <c r="F114" s="1">
        <f t="shared" si="45"/>
        <v>8192</v>
      </c>
      <c r="G114" s="5">
        <v>18.7</v>
      </c>
      <c r="H114" s="25">
        <f t="shared" si="42"/>
        <v>5.3475935828877004E-2</v>
      </c>
      <c r="I114" s="6"/>
      <c r="J114" s="1">
        <f t="shared" si="46"/>
        <v>8192</v>
      </c>
      <c r="K114" s="5">
        <v>21.1</v>
      </c>
      <c r="L114" s="25">
        <f t="shared" si="43"/>
        <v>4.7393364928909949E-2</v>
      </c>
      <c r="M114" s="6"/>
      <c r="N114" s="1">
        <f t="shared" si="47"/>
        <v>8192</v>
      </c>
      <c r="O114" s="5">
        <v>41.2</v>
      </c>
      <c r="P114" s="25">
        <f t="shared" si="44"/>
        <v>2.4271844660194174E-2</v>
      </c>
    </row>
    <row r="115" spans="2:16" ht="15.75" thickBot="1" x14ac:dyDescent="0.3">
      <c r="B115" s="51" t="s">
        <v>53</v>
      </c>
      <c r="C115" s="52"/>
      <c r="D115" s="54" t="s">
        <v>38</v>
      </c>
      <c r="E115" s="6"/>
      <c r="F115" s="2">
        <f t="shared" si="45"/>
        <v>16384</v>
      </c>
      <c r="G115" s="5">
        <v>11</v>
      </c>
      <c r="H115" s="25">
        <f t="shared" si="42"/>
        <v>9.0909090909090912E-2</v>
      </c>
      <c r="I115" s="6"/>
      <c r="J115" s="2">
        <f t="shared" si="46"/>
        <v>16384</v>
      </c>
      <c r="K115" s="5">
        <v>14.3</v>
      </c>
      <c r="L115" s="25">
        <f t="shared" si="43"/>
        <v>6.9930069930069921E-2</v>
      </c>
      <c r="M115" s="6"/>
      <c r="N115" s="2">
        <f t="shared" si="47"/>
        <v>16384</v>
      </c>
      <c r="O115" s="5">
        <v>41.2</v>
      </c>
      <c r="P115" s="25">
        <f t="shared" si="44"/>
        <v>2.4271844660194174E-2</v>
      </c>
    </row>
    <row r="116" spans="2:16" ht="15.75" thickBot="1" x14ac:dyDescent="0.3">
      <c r="B116" s="51" t="s">
        <v>54</v>
      </c>
      <c r="C116" s="52"/>
      <c r="D116" s="54" t="s">
        <v>39</v>
      </c>
      <c r="E116" s="10"/>
      <c r="F116" s="3" t="s">
        <v>0</v>
      </c>
      <c r="G116" s="4">
        <f>AVERAGE(G106:G115)</f>
        <v>32.399999999999991</v>
      </c>
      <c r="H116" s="26">
        <f>AVERAGE(H106:H115)</f>
        <v>3.6678549953396464E-2</v>
      </c>
      <c r="I116" s="10"/>
      <c r="J116" s="3" t="s">
        <v>0</v>
      </c>
      <c r="K116" s="4">
        <f>AVERAGE(K106:K115)</f>
        <v>33.28</v>
      </c>
      <c r="L116" s="26">
        <f>AVERAGE(L106:L115)</f>
        <v>3.3607444435671451E-2</v>
      </c>
      <c r="M116" s="10"/>
      <c r="N116" s="3" t="s">
        <v>0</v>
      </c>
      <c r="O116" s="4">
        <f>AVERAGE(O106:O115)</f>
        <v>41.03</v>
      </c>
      <c r="P116" s="26">
        <f>AVERAGE(P106:P115)</f>
        <v>2.4376303228321825E-2</v>
      </c>
    </row>
    <row r="117" spans="2:16" ht="15.75" thickBot="1" x14ac:dyDescent="0.3"/>
    <row r="118" spans="2:16" ht="24" thickBot="1" x14ac:dyDescent="0.4">
      <c r="B118" s="34" t="s">
        <v>14</v>
      </c>
      <c r="C118" s="35"/>
      <c r="D118" s="36"/>
      <c r="E118" s="45" t="s">
        <v>20</v>
      </c>
      <c r="F118" s="46"/>
      <c r="G118" s="46"/>
      <c r="H118" s="46"/>
      <c r="I118" s="47"/>
    </row>
    <row r="119" spans="2:16" ht="15.75" thickBot="1" x14ac:dyDescent="0.3">
      <c r="B119" s="19"/>
      <c r="C119" s="9"/>
      <c r="D119" s="9"/>
      <c r="E119" s="9"/>
      <c r="F119" s="30" t="s">
        <v>7</v>
      </c>
      <c r="G119" s="31"/>
      <c r="H119" s="11" t="s">
        <v>9</v>
      </c>
      <c r="I119" s="9"/>
      <c r="J119" s="30" t="s">
        <v>8</v>
      </c>
      <c r="K119" s="31"/>
      <c r="L119" s="11" t="s">
        <v>9</v>
      </c>
      <c r="M119" s="9"/>
      <c r="N119" s="30" t="s">
        <v>2</v>
      </c>
      <c r="O119" s="31"/>
      <c r="P119" s="11" t="s">
        <v>9</v>
      </c>
    </row>
    <row r="120" spans="2:16" ht="15.75" thickBot="1" x14ac:dyDescent="0.3">
      <c r="B120" s="8"/>
      <c r="C120" s="6"/>
      <c r="D120" s="6"/>
      <c r="E120" s="6"/>
      <c r="F120" s="4" t="s">
        <v>3</v>
      </c>
      <c r="G120" s="4" t="s">
        <v>1</v>
      </c>
      <c r="H120" s="4" t="s">
        <v>17</v>
      </c>
      <c r="I120" s="6"/>
      <c r="J120" s="4" t="s">
        <v>3</v>
      </c>
      <c r="K120" s="4" t="s">
        <v>1</v>
      </c>
      <c r="L120" s="4" t="s">
        <v>17</v>
      </c>
      <c r="M120" s="6"/>
      <c r="N120" s="4" t="s">
        <v>3</v>
      </c>
      <c r="O120" s="4" t="s">
        <v>1</v>
      </c>
      <c r="P120" s="4" t="s">
        <v>17</v>
      </c>
    </row>
    <row r="121" spans="2:16" ht="15.75" thickBot="1" x14ac:dyDescent="0.3">
      <c r="B121" s="30" t="s">
        <v>9</v>
      </c>
      <c r="C121" s="31"/>
      <c r="D121" s="11" t="s">
        <v>9</v>
      </c>
      <c r="E121" s="18"/>
      <c r="F121" s="1">
        <f>16*2</f>
        <v>32</v>
      </c>
      <c r="G121" s="5">
        <v>96.5</v>
      </c>
      <c r="H121" s="25">
        <f>1/C123</f>
        <v>8.291873963515755E-3</v>
      </c>
      <c r="I121" s="6"/>
      <c r="J121" s="1">
        <f>16*2</f>
        <v>32</v>
      </c>
      <c r="K121" s="5">
        <v>120.3</v>
      </c>
      <c r="L121" s="25">
        <f t="shared" ref="L121:L130" si="48">1/K121</f>
        <v>8.3125519534497094E-3</v>
      </c>
      <c r="M121" s="6"/>
      <c r="N121" s="1">
        <f>16*2</f>
        <v>32</v>
      </c>
      <c r="O121" s="5">
        <v>119.2</v>
      </c>
      <c r="P121" s="25">
        <f t="shared" ref="P121:P130" si="49">1/O121</f>
        <v>8.389261744966443E-3</v>
      </c>
    </row>
    <row r="122" spans="2:16" ht="15.75" thickBot="1" x14ac:dyDescent="0.3">
      <c r="B122" s="4" t="s">
        <v>3</v>
      </c>
      <c r="C122" s="4" t="s">
        <v>1</v>
      </c>
      <c r="D122" s="4" t="s">
        <v>17</v>
      </c>
      <c r="E122" s="18"/>
      <c r="F122" s="1">
        <f t="shared" ref="F122:F130" si="50">F121*2</f>
        <v>64</v>
      </c>
      <c r="G122" s="5">
        <v>95</v>
      </c>
      <c r="H122" s="25">
        <f t="shared" ref="H122:H130" si="51">1/G122</f>
        <v>1.0526315789473684E-2</v>
      </c>
      <c r="I122" s="6"/>
      <c r="J122" s="1">
        <f t="shared" ref="J122:J130" si="52">J121*2</f>
        <v>64</v>
      </c>
      <c r="K122" s="5">
        <v>119.9</v>
      </c>
      <c r="L122" s="25">
        <f t="shared" si="48"/>
        <v>8.3402835696413675E-3</v>
      </c>
      <c r="M122" s="6"/>
      <c r="N122" s="1">
        <f t="shared" ref="N122:N130" si="53">N121*2</f>
        <v>64</v>
      </c>
      <c r="O122" s="5">
        <v>119.8</v>
      </c>
      <c r="P122" s="25">
        <f t="shared" si="49"/>
        <v>8.3472454090150246E-3</v>
      </c>
    </row>
    <row r="123" spans="2:16" ht="15.75" thickBot="1" x14ac:dyDescent="0.3">
      <c r="B123" s="15" t="s">
        <v>11</v>
      </c>
      <c r="C123" s="15">
        <v>120.6</v>
      </c>
      <c r="D123" s="27">
        <f>1/C123</f>
        <v>8.291873963515755E-3</v>
      </c>
      <c r="E123" s="18"/>
      <c r="F123" s="1">
        <f t="shared" si="50"/>
        <v>128</v>
      </c>
      <c r="G123" s="5">
        <v>120.1</v>
      </c>
      <c r="H123" s="25">
        <f t="shared" si="51"/>
        <v>8.3263946711074101E-3</v>
      </c>
      <c r="I123" s="6"/>
      <c r="J123" s="1">
        <f t="shared" si="52"/>
        <v>128</v>
      </c>
      <c r="K123" s="5">
        <v>120</v>
      </c>
      <c r="L123" s="25">
        <f t="shared" si="48"/>
        <v>8.3333333333333332E-3</v>
      </c>
      <c r="M123" s="6"/>
      <c r="N123" s="1">
        <f t="shared" si="53"/>
        <v>128</v>
      </c>
      <c r="O123" s="5">
        <v>119.8</v>
      </c>
      <c r="P123" s="25">
        <f t="shared" si="49"/>
        <v>8.3472454090150246E-3</v>
      </c>
    </row>
    <row r="124" spans="2:16" ht="15.75" thickBot="1" x14ac:dyDescent="0.3">
      <c r="B124" s="8"/>
      <c r="C124" s="6"/>
      <c r="D124" s="6"/>
      <c r="E124" s="6"/>
      <c r="F124" s="1">
        <f t="shared" si="50"/>
        <v>256</v>
      </c>
      <c r="G124" s="5">
        <v>120.5</v>
      </c>
      <c r="H124" s="25">
        <f t="shared" si="51"/>
        <v>8.2987551867219917E-3</v>
      </c>
      <c r="I124" s="6"/>
      <c r="J124" s="1">
        <f t="shared" si="52"/>
        <v>256</v>
      </c>
      <c r="K124" s="5">
        <v>120.5</v>
      </c>
      <c r="L124" s="25">
        <f t="shared" si="48"/>
        <v>8.2987551867219917E-3</v>
      </c>
      <c r="M124" s="6"/>
      <c r="N124" s="1">
        <f t="shared" si="53"/>
        <v>256</v>
      </c>
      <c r="O124" s="5">
        <v>119.9</v>
      </c>
      <c r="P124" s="25">
        <f t="shared" si="49"/>
        <v>8.3402835696413675E-3</v>
      </c>
    </row>
    <row r="125" spans="2:16" ht="15.75" thickBot="1" x14ac:dyDescent="0.3">
      <c r="B125" s="30" t="s">
        <v>9</v>
      </c>
      <c r="C125" s="31"/>
      <c r="D125" s="11" t="s">
        <v>10</v>
      </c>
      <c r="E125" s="6"/>
      <c r="F125" s="1">
        <f t="shared" si="50"/>
        <v>512</v>
      </c>
      <c r="G125" s="5">
        <v>120.6</v>
      </c>
      <c r="H125" s="25">
        <f t="shared" si="51"/>
        <v>8.291873963515755E-3</v>
      </c>
      <c r="I125" s="6"/>
      <c r="J125" s="1">
        <f t="shared" si="52"/>
        <v>512</v>
      </c>
      <c r="K125" s="5">
        <v>119.9</v>
      </c>
      <c r="L125" s="25">
        <f t="shared" si="48"/>
        <v>8.3402835696413675E-3</v>
      </c>
      <c r="M125" s="6"/>
      <c r="N125" s="1">
        <f t="shared" si="53"/>
        <v>512</v>
      </c>
      <c r="O125" s="5">
        <v>120</v>
      </c>
      <c r="P125" s="25">
        <f t="shared" si="49"/>
        <v>8.3333333333333332E-3</v>
      </c>
    </row>
    <row r="126" spans="2:16" ht="15.75" thickBot="1" x14ac:dyDescent="0.3">
      <c r="B126" s="4" t="s">
        <v>3</v>
      </c>
      <c r="C126" s="4" t="s">
        <v>1</v>
      </c>
      <c r="D126" s="4" t="s">
        <v>17</v>
      </c>
      <c r="E126" s="6"/>
      <c r="F126" s="1">
        <f t="shared" si="50"/>
        <v>1024</v>
      </c>
      <c r="G126" s="5">
        <v>119.7</v>
      </c>
      <c r="H126" s="25">
        <f t="shared" si="51"/>
        <v>8.3542188805346695E-3</v>
      </c>
      <c r="I126" s="6"/>
      <c r="J126" s="1">
        <f t="shared" si="52"/>
        <v>1024</v>
      </c>
      <c r="K126" s="5">
        <v>119.5</v>
      </c>
      <c r="L126" s="25">
        <f t="shared" si="48"/>
        <v>8.368200836820083E-3</v>
      </c>
      <c r="M126" s="6"/>
      <c r="N126" s="1">
        <f t="shared" si="53"/>
        <v>1024</v>
      </c>
      <c r="O126" s="5">
        <v>118.5</v>
      </c>
      <c r="P126" s="25">
        <f t="shared" si="49"/>
        <v>8.4388185654008432E-3</v>
      </c>
    </row>
    <row r="127" spans="2:16" ht="15.75" thickBot="1" x14ac:dyDescent="0.3">
      <c r="B127" s="15" t="s">
        <v>11</v>
      </c>
      <c r="C127" s="16">
        <v>38.299999999999997</v>
      </c>
      <c r="D127" s="27">
        <f>1/C127</f>
        <v>2.6109660574412535E-2</v>
      </c>
      <c r="E127" s="6"/>
      <c r="F127" s="1">
        <f t="shared" si="50"/>
        <v>2048</v>
      </c>
      <c r="G127" s="5">
        <v>94.7</v>
      </c>
      <c r="H127" s="25">
        <f t="shared" si="51"/>
        <v>1.0559662090813094E-2</v>
      </c>
      <c r="I127" s="6"/>
      <c r="J127" s="1">
        <f t="shared" si="52"/>
        <v>2048</v>
      </c>
      <c r="K127" s="5">
        <v>111.7</v>
      </c>
      <c r="L127" s="25">
        <f t="shared" si="48"/>
        <v>8.9525514771709933E-3</v>
      </c>
      <c r="M127" s="6"/>
      <c r="N127" s="1">
        <f t="shared" si="53"/>
        <v>2048</v>
      </c>
      <c r="O127" s="5">
        <v>118.4</v>
      </c>
      <c r="P127" s="25">
        <f t="shared" si="49"/>
        <v>8.4459459459459447E-3</v>
      </c>
    </row>
    <row r="128" spans="2:16" x14ac:dyDescent="0.25">
      <c r="B128" s="8"/>
      <c r="C128" s="6"/>
      <c r="D128" s="6"/>
      <c r="E128" s="6"/>
      <c r="F128" s="1">
        <f t="shared" si="50"/>
        <v>4096</v>
      </c>
      <c r="G128" s="5">
        <v>53.1</v>
      </c>
      <c r="H128" s="25">
        <f>1/G128</f>
        <v>1.8832391713747645E-2</v>
      </c>
      <c r="I128" s="6"/>
      <c r="J128" s="1">
        <f t="shared" si="52"/>
        <v>4096</v>
      </c>
      <c r="K128" s="5">
        <v>68.599999999999994</v>
      </c>
      <c r="L128" s="25">
        <f t="shared" si="48"/>
        <v>1.457725947521866E-2</v>
      </c>
      <c r="M128" s="6"/>
      <c r="N128" s="1">
        <f t="shared" si="53"/>
        <v>4096</v>
      </c>
      <c r="O128" s="5">
        <v>120.2</v>
      </c>
      <c r="P128" s="25">
        <f t="shared" si="49"/>
        <v>8.3194675540765387E-3</v>
      </c>
    </row>
    <row r="129" spans="2:16" x14ac:dyDescent="0.25">
      <c r="B129" s="8"/>
      <c r="C129" s="6"/>
      <c r="D129" s="6"/>
      <c r="E129" s="6"/>
      <c r="F129" s="1">
        <f t="shared" si="50"/>
        <v>8192</v>
      </c>
      <c r="G129" s="5">
        <v>30</v>
      </c>
      <c r="H129" s="25">
        <f>1/G129</f>
        <v>3.3333333333333333E-2</v>
      </c>
      <c r="I129" s="6"/>
      <c r="J129" s="1">
        <f t="shared" si="52"/>
        <v>8192</v>
      </c>
      <c r="K129" s="5">
        <v>40.799999999999997</v>
      </c>
      <c r="L129" s="25">
        <f t="shared" si="48"/>
        <v>2.4509803921568631E-2</v>
      </c>
      <c r="M129" s="6"/>
      <c r="N129" s="1">
        <f t="shared" si="53"/>
        <v>8192</v>
      </c>
      <c r="O129" s="5">
        <v>119.6</v>
      </c>
      <c r="P129" s="25">
        <f t="shared" si="49"/>
        <v>8.3612040133779261E-3</v>
      </c>
    </row>
    <row r="130" spans="2:16" ht="15.75" thickBot="1" x14ac:dyDescent="0.3">
      <c r="B130" s="8"/>
      <c r="C130" s="6"/>
      <c r="D130" s="6"/>
      <c r="E130" s="6"/>
      <c r="F130" s="2">
        <f t="shared" si="50"/>
        <v>16384</v>
      </c>
      <c r="G130" s="5">
        <v>16.100000000000001</v>
      </c>
      <c r="H130" s="25">
        <f t="shared" si="51"/>
        <v>6.2111801242236017E-2</v>
      </c>
      <c r="I130" s="6"/>
      <c r="J130" s="2">
        <f t="shared" si="52"/>
        <v>16384</v>
      </c>
      <c r="K130" s="5">
        <v>21.2</v>
      </c>
      <c r="L130" s="25">
        <f t="shared" si="48"/>
        <v>4.716981132075472E-2</v>
      </c>
      <c r="M130" s="6"/>
      <c r="N130" s="2">
        <f t="shared" si="53"/>
        <v>16384</v>
      </c>
      <c r="O130" s="5">
        <v>120.2</v>
      </c>
      <c r="P130" s="25">
        <f t="shared" si="49"/>
        <v>8.3194675540765387E-3</v>
      </c>
    </row>
    <row r="131" spans="2:16" ht="15.75" thickBot="1" x14ac:dyDescent="0.3">
      <c r="B131" s="8"/>
      <c r="C131" s="6"/>
      <c r="D131" s="6"/>
      <c r="E131" s="6"/>
      <c r="F131" s="3" t="s">
        <v>0</v>
      </c>
      <c r="G131" s="4">
        <f>AVERAGE(G121:G130)</f>
        <v>86.630000000000024</v>
      </c>
      <c r="H131" s="26">
        <f>AVERAGE(H121:H130)</f>
        <v>1.7692662083499937E-2</v>
      </c>
      <c r="I131" s="6"/>
      <c r="J131" s="3" t="s">
        <v>0</v>
      </c>
      <c r="K131" s="4">
        <f>AVERAGE(K121:K130)</f>
        <v>96.240000000000009</v>
      </c>
      <c r="L131" s="26">
        <f>AVERAGE(L121:L130)</f>
        <v>1.4520283464432088E-2</v>
      </c>
      <c r="M131" s="6"/>
      <c r="N131" s="3" t="s">
        <v>0</v>
      </c>
      <c r="O131" s="4">
        <f>AVERAGE(O121:O130)</f>
        <v>119.56000000000002</v>
      </c>
      <c r="P131" s="26">
        <f>AVERAGE(P121:P130)</f>
        <v>8.3642273098848974E-3</v>
      </c>
    </row>
    <row r="132" spans="2:16" ht="24" thickBot="1" x14ac:dyDescent="0.4">
      <c r="B132" s="34" t="s">
        <v>47</v>
      </c>
      <c r="C132" s="35"/>
      <c r="D132" s="3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7"/>
    </row>
    <row r="133" spans="2:16" ht="15.75" thickBot="1" x14ac:dyDescent="0.3">
      <c r="B133" s="55" t="s">
        <v>21</v>
      </c>
      <c r="C133" s="56"/>
      <c r="D133" s="57" t="s">
        <v>22</v>
      </c>
      <c r="E133" s="18"/>
      <c r="F133" s="30" t="s">
        <v>7</v>
      </c>
      <c r="G133" s="31"/>
      <c r="H133" s="11" t="s">
        <v>10</v>
      </c>
      <c r="I133" s="6"/>
      <c r="J133" s="30" t="s">
        <v>8</v>
      </c>
      <c r="K133" s="31"/>
      <c r="L133" s="11" t="s">
        <v>10</v>
      </c>
      <c r="M133" s="6"/>
      <c r="N133" s="30" t="s">
        <v>2</v>
      </c>
      <c r="O133" s="31"/>
      <c r="P133" s="11" t="s">
        <v>10</v>
      </c>
    </row>
    <row r="134" spans="2:16" ht="15.75" thickBot="1" x14ac:dyDescent="0.3">
      <c r="B134" s="58" t="s">
        <v>48</v>
      </c>
      <c r="C134" s="59"/>
      <c r="D134" s="60">
        <v>16</v>
      </c>
      <c r="E134" s="18"/>
      <c r="F134" s="4" t="s">
        <v>3</v>
      </c>
      <c r="G134" s="4" t="s">
        <v>1</v>
      </c>
      <c r="H134" s="4" t="s">
        <v>17</v>
      </c>
      <c r="I134" s="6"/>
      <c r="J134" s="4" t="s">
        <v>3</v>
      </c>
      <c r="K134" s="4" t="s">
        <v>1</v>
      </c>
      <c r="L134" s="4" t="s">
        <v>17</v>
      </c>
      <c r="M134" s="6"/>
      <c r="N134" s="4" t="s">
        <v>3</v>
      </c>
      <c r="O134" s="4" t="s">
        <v>1</v>
      </c>
      <c r="P134" s="4" t="s">
        <v>17</v>
      </c>
    </row>
    <row r="135" spans="2:16" ht="15.75" thickBot="1" x14ac:dyDescent="0.3">
      <c r="B135" s="51" t="s">
        <v>49</v>
      </c>
      <c r="C135" s="52"/>
      <c r="D135" s="53">
        <v>24</v>
      </c>
      <c r="E135" s="18"/>
      <c r="F135" s="1">
        <f>16*2</f>
        <v>32</v>
      </c>
      <c r="G135" s="5">
        <v>38.799999999999997</v>
      </c>
      <c r="H135" s="25">
        <f t="shared" ref="H135:H144" si="54">1/G135</f>
        <v>2.5773195876288662E-2</v>
      </c>
      <c r="I135" s="6"/>
      <c r="J135" s="1">
        <f>16*2</f>
        <v>32</v>
      </c>
      <c r="K135" s="5">
        <v>38.700000000000003</v>
      </c>
      <c r="L135" s="25">
        <f t="shared" ref="L135:L144" si="55">1/K135</f>
        <v>2.5839793281653745E-2</v>
      </c>
      <c r="M135" s="6"/>
      <c r="N135" s="1">
        <f>16*2</f>
        <v>32</v>
      </c>
      <c r="O135" s="5">
        <v>38.6</v>
      </c>
      <c r="P135" s="25">
        <f t="shared" ref="P135:P144" si="56">1/O135</f>
        <v>2.5906735751295335E-2</v>
      </c>
    </row>
    <row r="136" spans="2:16" ht="15.75" thickBot="1" x14ac:dyDescent="0.3">
      <c r="B136" s="51" t="s">
        <v>50</v>
      </c>
      <c r="C136" s="52"/>
      <c r="D136" s="54" t="s">
        <v>36</v>
      </c>
      <c r="E136" s="6"/>
      <c r="F136" s="1">
        <f t="shared" ref="F136:F144" si="57">F135*2</f>
        <v>64</v>
      </c>
      <c r="G136" s="5">
        <v>38.799999999999997</v>
      </c>
      <c r="H136" s="25">
        <f t="shared" si="54"/>
        <v>2.5773195876288662E-2</v>
      </c>
      <c r="I136" s="6"/>
      <c r="J136" s="1">
        <f t="shared" ref="J136:J144" si="58">J135*2</f>
        <v>64</v>
      </c>
      <c r="K136" s="5">
        <v>38.299999999999997</v>
      </c>
      <c r="L136" s="25">
        <f t="shared" si="55"/>
        <v>2.6109660574412535E-2</v>
      </c>
      <c r="M136" s="6"/>
      <c r="N136" s="1">
        <f t="shared" ref="N136:N144" si="59">N135*2</f>
        <v>64</v>
      </c>
      <c r="O136" s="5">
        <v>39.1</v>
      </c>
      <c r="P136" s="25">
        <f t="shared" si="56"/>
        <v>2.557544757033248E-2</v>
      </c>
    </row>
    <row r="137" spans="2:16" ht="15.75" thickBot="1" x14ac:dyDescent="0.3">
      <c r="B137" s="51" t="s">
        <v>51</v>
      </c>
      <c r="C137" s="52"/>
      <c r="D137" s="54" t="s">
        <v>37</v>
      </c>
      <c r="E137" s="6"/>
      <c r="F137" s="1">
        <f t="shared" si="57"/>
        <v>128</v>
      </c>
      <c r="G137" s="5">
        <v>37.9</v>
      </c>
      <c r="H137" s="25">
        <f t="shared" si="54"/>
        <v>2.6385224274406333E-2</v>
      </c>
      <c r="I137" s="6"/>
      <c r="J137" s="1">
        <f t="shared" si="58"/>
        <v>128</v>
      </c>
      <c r="K137" s="5">
        <v>37.299999999999997</v>
      </c>
      <c r="L137" s="25">
        <f t="shared" si="55"/>
        <v>2.6809651474530832E-2</v>
      </c>
      <c r="M137" s="6"/>
      <c r="N137" s="1">
        <f t="shared" si="59"/>
        <v>128</v>
      </c>
      <c r="O137" s="5">
        <v>38.299999999999997</v>
      </c>
      <c r="P137" s="25">
        <f t="shared" si="56"/>
        <v>2.6109660574412535E-2</v>
      </c>
    </row>
    <row r="138" spans="2:16" ht="15.75" thickBot="1" x14ac:dyDescent="0.3">
      <c r="B138" s="8"/>
      <c r="C138" s="6"/>
      <c r="D138" s="6"/>
      <c r="E138" s="6"/>
      <c r="F138" s="1">
        <f t="shared" si="57"/>
        <v>256</v>
      </c>
      <c r="G138" s="5">
        <v>37.1</v>
      </c>
      <c r="H138" s="25">
        <f t="shared" si="54"/>
        <v>2.6954177897574122E-2</v>
      </c>
      <c r="I138" s="6"/>
      <c r="J138" s="1">
        <f t="shared" si="58"/>
        <v>256</v>
      </c>
      <c r="K138" s="5">
        <v>37.6</v>
      </c>
      <c r="L138" s="25">
        <f t="shared" si="55"/>
        <v>2.6595744680851064E-2</v>
      </c>
      <c r="M138" s="6"/>
      <c r="N138" s="1">
        <f t="shared" si="59"/>
        <v>256</v>
      </c>
      <c r="O138" s="5">
        <v>38.6</v>
      </c>
      <c r="P138" s="25">
        <f t="shared" si="56"/>
        <v>2.5906735751295335E-2</v>
      </c>
    </row>
    <row r="139" spans="2:16" ht="24" thickBot="1" x14ac:dyDescent="0.4">
      <c r="B139" s="34" t="s">
        <v>46</v>
      </c>
      <c r="C139" s="35"/>
      <c r="D139" s="36"/>
      <c r="E139" s="6"/>
      <c r="F139" s="1">
        <f t="shared" si="57"/>
        <v>512</v>
      </c>
      <c r="G139" s="5">
        <v>36.700000000000003</v>
      </c>
      <c r="H139" s="25">
        <f t="shared" si="54"/>
        <v>2.7247956403269751E-2</v>
      </c>
      <c r="I139" s="6"/>
      <c r="J139" s="1">
        <f t="shared" si="58"/>
        <v>512</v>
      </c>
      <c r="K139" s="5">
        <v>36.9</v>
      </c>
      <c r="L139" s="25">
        <f t="shared" si="55"/>
        <v>2.7100271002710029E-2</v>
      </c>
      <c r="M139" s="6"/>
      <c r="N139" s="1">
        <f t="shared" si="59"/>
        <v>512</v>
      </c>
      <c r="O139" s="5">
        <v>38.299999999999997</v>
      </c>
      <c r="P139" s="25">
        <f t="shared" si="56"/>
        <v>2.6109660574412535E-2</v>
      </c>
    </row>
    <row r="140" spans="2:16" ht="15.75" thickBot="1" x14ac:dyDescent="0.3">
      <c r="B140" s="55" t="s">
        <v>21</v>
      </c>
      <c r="C140" s="56"/>
      <c r="D140" s="57" t="s">
        <v>22</v>
      </c>
      <c r="E140" s="6"/>
      <c r="F140" s="1">
        <f t="shared" si="57"/>
        <v>1024</v>
      </c>
      <c r="G140" s="5">
        <v>34.6</v>
      </c>
      <c r="H140" s="25">
        <f t="shared" si="54"/>
        <v>2.8901734104046242E-2</v>
      </c>
      <c r="I140" s="6"/>
      <c r="J140" s="1">
        <f t="shared" si="58"/>
        <v>1024</v>
      </c>
      <c r="K140" s="5">
        <v>35.200000000000003</v>
      </c>
      <c r="L140" s="25">
        <f t="shared" si="55"/>
        <v>2.8409090909090908E-2</v>
      </c>
      <c r="M140" s="6"/>
      <c r="N140" s="1">
        <f t="shared" si="59"/>
        <v>1024</v>
      </c>
      <c r="O140" s="5">
        <v>38.5</v>
      </c>
      <c r="P140" s="25">
        <f t="shared" si="56"/>
        <v>2.5974025974025976E-2</v>
      </c>
    </row>
    <row r="141" spans="2:16" ht="15.75" thickBot="1" x14ac:dyDescent="0.3">
      <c r="B141" s="58" t="s">
        <v>35</v>
      </c>
      <c r="C141" s="59"/>
      <c r="D141" s="60">
        <v>68</v>
      </c>
      <c r="E141" s="6"/>
      <c r="F141" s="1">
        <f t="shared" si="57"/>
        <v>2048</v>
      </c>
      <c r="G141" s="5">
        <v>30.9</v>
      </c>
      <c r="H141" s="25">
        <f t="shared" si="54"/>
        <v>3.236245954692557E-2</v>
      </c>
      <c r="I141" s="6"/>
      <c r="J141" s="1">
        <f t="shared" si="58"/>
        <v>2048</v>
      </c>
      <c r="K141" s="5">
        <v>31</v>
      </c>
      <c r="L141" s="25">
        <f t="shared" si="55"/>
        <v>3.2258064516129031E-2</v>
      </c>
      <c r="M141" s="6"/>
      <c r="N141" s="1">
        <f t="shared" si="59"/>
        <v>2048</v>
      </c>
      <c r="O141" s="5">
        <v>37.5</v>
      </c>
      <c r="P141" s="25">
        <f t="shared" si="56"/>
        <v>2.6666666666666668E-2</v>
      </c>
    </row>
    <row r="142" spans="2:16" ht="15.75" thickBot="1" x14ac:dyDescent="0.3">
      <c r="B142" s="51" t="s">
        <v>50</v>
      </c>
      <c r="C142" s="52"/>
      <c r="D142" s="54" t="s">
        <v>41</v>
      </c>
      <c r="E142" s="6"/>
      <c r="F142" s="1">
        <f t="shared" si="57"/>
        <v>4096</v>
      </c>
      <c r="G142" s="5">
        <v>24.7</v>
      </c>
      <c r="H142" s="25">
        <f t="shared" si="54"/>
        <v>4.048582995951417E-2</v>
      </c>
      <c r="I142" s="6"/>
      <c r="J142" s="1">
        <f t="shared" si="58"/>
        <v>4096</v>
      </c>
      <c r="K142" s="5">
        <v>25.8</v>
      </c>
      <c r="L142" s="25">
        <f t="shared" si="55"/>
        <v>3.875968992248062E-2</v>
      </c>
      <c r="M142" s="6"/>
      <c r="N142" s="1">
        <f t="shared" si="59"/>
        <v>4096</v>
      </c>
      <c r="O142" s="5">
        <v>39.9</v>
      </c>
      <c r="P142" s="25">
        <f t="shared" si="56"/>
        <v>2.5062656641604012E-2</v>
      </c>
    </row>
    <row r="143" spans="2:16" ht="15.75" thickBot="1" x14ac:dyDescent="0.3">
      <c r="B143" s="51" t="s">
        <v>52</v>
      </c>
      <c r="C143" s="52"/>
      <c r="D143" s="54" t="s">
        <v>40</v>
      </c>
      <c r="E143" s="6"/>
      <c r="F143" s="1">
        <f t="shared" si="57"/>
        <v>8192</v>
      </c>
      <c r="G143" s="5">
        <v>17.5</v>
      </c>
      <c r="H143" s="25">
        <f t="shared" si="54"/>
        <v>5.7142857142857141E-2</v>
      </c>
      <c r="I143" s="6"/>
      <c r="J143" s="1">
        <f t="shared" si="58"/>
        <v>8192</v>
      </c>
      <c r="K143" s="5">
        <v>20.2</v>
      </c>
      <c r="L143" s="25">
        <f t="shared" si="55"/>
        <v>4.9504950495049507E-2</v>
      </c>
      <c r="M143" s="6"/>
      <c r="N143" s="1">
        <f t="shared" si="59"/>
        <v>8192</v>
      </c>
      <c r="O143" s="5">
        <v>38.9</v>
      </c>
      <c r="P143" s="25">
        <f t="shared" si="56"/>
        <v>2.570694087403599E-2</v>
      </c>
    </row>
    <row r="144" spans="2:16" ht="15.75" thickBot="1" x14ac:dyDescent="0.3">
      <c r="B144" s="51" t="s">
        <v>53</v>
      </c>
      <c r="C144" s="52"/>
      <c r="D144" s="54" t="s">
        <v>38</v>
      </c>
      <c r="E144" s="6"/>
      <c r="F144" s="2">
        <f t="shared" si="57"/>
        <v>16384</v>
      </c>
      <c r="G144" s="5">
        <v>11.7</v>
      </c>
      <c r="H144" s="25">
        <f t="shared" si="54"/>
        <v>8.5470085470085472E-2</v>
      </c>
      <c r="I144" s="6"/>
      <c r="J144" s="2">
        <f t="shared" si="58"/>
        <v>16384</v>
      </c>
      <c r="K144" s="5">
        <v>13.6</v>
      </c>
      <c r="L144" s="25">
        <f t="shared" si="55"/>
        <v>7.3529411764705885E-2</v>
      </c>
      <c r="M144" s="6"/>
      <c r="N144" s="2">
        <f t="shared" si="59"/>
        <v>16384</v>
      </c>
      <c r="O144" s="5">
        <v>38.1</v>
      </c>
      <c r="P144" s="25">
        <f t="shared" si="56"/>
        <v>2.6246719160104987E-2</v>
      </c>
    </row>
    <row r="145" spans="2:16" ht="15.75" thickBot="1" x14ac:dyDescent="0.3">
      <c r="B145" s="51" t="s">
        <v>54</v>
      </c>
      <c r="C145" s="52"/>
      <c r="D145" s="54" t="s">
        <v>39</v>
      </c>
      <c r="E145" s="10"/>
      <c r="F145" s="3" t="s">
        <v>0</v>
      </c>
      <c r="G145" s="4">
        <f>AVERAGE(G135:G144)</f>
        <v>30.869999999999997</v>
      </c>
      <c r="H145" s="26">
        <f>AVERAGE(H135:H144)</f>
        <v>3.7649671655125616E-2</v>
      </c>
      <c r="I145" s="10"/>
      <c r="J145" s="3" t="s">
        <v>0</v>
      </c>
      <c r="K145" s="4">
        <f>AVERAGE(K135:K144)</f>
        <v>31.46</v>
      </c>
      <c r="L145" s="26">
        <f>AVERAGE(L135:L144)</f>
        <v>3.5491632862161414E-2</v>
      </c>
      <c r="M145" s="10"/>
      <c r="N145" s="3" t="s">
        <v>0</v>
      </c>
      <c r="O145" s="4">
        <f>AVERAGE(O135:O144)</f>
        <v>38.58</v>
      </c>
      <c r="P145" s="26">
        <f>AVERAGE(P135:P144)</f>
        <v>2.5926524953818586E-2</v>
      </c>
    </row>
    <row r="146" spans="2:16" ht="15.75" thickBot="1" x14ac:dyDescent="0.3"/>
    <row r="147" spans="2:16" ht="24" thickBot="1" x14ac:dyDescent="0.4">
      <c r="B147" s="48" t="s">
        <v>6</v>
      </c>
      <c r="C147" s="49"/>
      <c r="D147" s="50"/>
    </row>
    <row r="148" spans="2:16" ht="15.75" thickBot="1" x14ac:dyDescent="0.3">
      <c r="B148" s="19"/>
      <c r="C148" s="9"/>
      <c r="D148" s="9"/>
      <c r="E148" s="9"/>
      <c r="F148" s="28" t="s">
        <v>7</v>
      </c>
      <c r="G148" s="29"/>
      <c r="H148" s="22" t="s">
        <v>9</v>
      </c>
      <c r="I148" s="9"/>
      <c r="J148" s="28" t="s">
        <v>8</v>
      </c>
      <c r="K148" s="29"/>
      <c r="L148" s="22" t="s">
        <v>9</v>
      </c>
      <c r="M148" s="9"/>
      <c r="N148" s="28" t="s">
        <v>2</v>
      </c>
      <c r="O148" s="29"/>
      <c r="P148" s="22" t="s">
        <v>9</v>
      </c>
    </row>
    <row r="149" spans="2:16" ht="15.75" thickBot="1" x14ac:dyDescent="0.3">
      <c r="B149" s="8"/>
      <c r="C149" s="6"/>
      <c r="D149" s="6"/>
      <c r="E149" s="6"/>
      <c r="F149" s="4" t="s">
        <v>3</v>
      </c>
      <c r="G149" s="4" t="s">
        <v>1</v>
      </c>
      <c r="H149" s="4" t="s">
        <v>17</v>
      </c>
      <c r="I149" s="6"/>
      <c r="J149" s="4" t="s">
        <v>3</v>
      </c>
      <c r="K149" s="4" t="s">
        <v>1</v>
      </c>
      <c r="L149" s="4" t="s">
        <v>17</v>
      </c>
      <c r="M149" s="6"/>
      <c r="N149" s="4" t="s">
        <v>3</v>
      </c>
      <c r="O149" s="4" t="s">
        <v>1</v>
      </c>
      <c r="P149" s="4" t="s">
        <v>17</v>
      </c>
    </row>
    <row r="150" spans="2:16" ht="15.75" thickBot="1" x14ac:dyDescent="0.3">
      <c r="B150" s="28" t="s">
        <v>9</v>
      </c>
      <c r="C150" s="29"/>
      <c r="D150" s="22" t="s">
        <v>9</v>
      </c>
      <c r="E150" s="18"/>
      <c r="F150" s="1">
        <f>16*2</f>
        <v>32</v>
      </c>
      <c r="G150" s="24">
        <f>AVERAGE(G5,G34,G63,G92,G121)</f>
        <v>110.44000000000001</v>
      </c>
      <c r="H150" s="25">
        <f t="shared" ref="H150:H159" si="60">1/G150</f>
        <v>9.0546903295907269E-3</v>
      </c>
      <c r="I150" s="6"/>
      <c r="J150" s="1">
        <f>16*2</f>
        <v>32</v>
      </c>
      <c r="K150" s="24">
        <f>AVERAGE(K5,K34,K63,K92,K121)</f>
        <v>108.05999999999999</v>
      </c>
      <c r="L150" s="25">
        <f t="shared" ref="L150:L159" si="61">1/K150</f>
        <v>9.2541180825467338E-3</v>
      </c>
      <c r="M150" s="6"/>
      <c r="N150" s="1">
        <f>16*2</f>
        <v>32</v>
      </c>
      <c r="O150" s="24">
        <f>AVERAGE(O5,O34,O63,O92,O121)</f>
        <v>114.32000000000001</v>
      </c>
      <c r="P150" s="25">
        <f t="shared" ref="P150:P159" si="62">1/O150</f>
        <v>8.74737578726382E-3</v>
      </c>
    </row>
    <row r="151" spans="2:16" ht="15.75" thickBot="1" x14ac:dyDescent="0.3">
      <c r="B151" s="4" t="s">
        <v>3</v>
      </c>
      <c r="C151" s="4" t="s">
        <v>1</v>
      </c>
      <c r="D151" s="4" t="s">
        <v>17</v>
      </c>
      <c r="E151" s="18"/>
      <c r="F151" s="1">
        <f t="shared" ref="F151:F159" si="63">F150*2</f>
        <v>64</v>
      </c>
      <c r="G151" s="24">
        <f t="shared" ref="G151:G159" si="64">AVERAGE(G6,G35,G64,G93,G122)</f>
        <v>112.75999999999999</v>
      </c>
      <c r="H151" s="25">
        <f t="shared" si="60"/>
        <v>8.8683930471798525E-3</v>
      </c>
      <c r="I151" s="6"/>
      <c r="J151" s="1">
        <f t="shared" ref="J151:J159" si="65">J150*2</f>
        <v>64</v>
      </c>
      <c r="K151" s="24">
        <f t="shared" ref="K151:K159" si="66">AVERAGE(K6,K35,K64,K93,K122)</f>
        <v>116.92</v>
      </c>
      <c r="L151" s="25">
        <f t="shared" si="61"/>
        <v>8.552856654122476E-3</v>
      </c>
      <c r="M151" s="6"/>
      <c r="N151" s="1">
        <f t="shared" ref="N151:N159" si="67">N150*2</f>
        <v>64</v>
      </c>
      <c r="O151" s="24">
        <f t="shared" ref="O151:O159" si="68">AVERAGE(O6,O35,O64,O93,O122)</f>
        <v>107.97999999999999</v>
      </c>
      <c r="P151" s="25">
        <f t="shared" si="62"/>
        <v>9.2609742544915736E-3</v>
      </c>
    </row>
    <row r="152" spans="2:16" ht="15.75" thickBot="1" x14ac:dyDescent="0.3">
      <c r="B152" s="15" t="s">
        <v>11</v>
      </c>
      <c r="C152" s="16">
        <f>AVERAGE(C7,C36,C65,C94,C123)</f>
        <v>116.64000000000001</v>
      </c>
      <c r="D152" s="27">
        <f>1/C152</f>
        <v>8.5733882030178312E-3</v>
      </c>
      <c r="E152" s="18"/>
      <c r="F152" s="1">
        <f t="shared" si="63"/>
        <v>128</v>
      </c>
      <c r="G152" s="24">
        <f t="shared" si="64"/>
        <v>107.94000000000001</v>
      </c>
      <c r="H152" s="25">
        <f t="shared" si="60"/>
        <v>9.264406151565683E-3</v>
      </c>
      <c r="I152" s="6"/>
      <c r="J152" s="1">
        <f t="shared" si="65"/>
        <v>128</v>
      </c>
      <c r="K152" s="24">
        <f t="shared" si="66"/>
        <v>117.2</v>
      </c>
      <c r="L152" s="25">
        <f t="shared" si="61"/>
        <v>8.5324232081911266E-3</v>
      </c>
      <c r="M152" s="6"/>
      <c r="N152" s="1">
        <f t="shared" si="67"/>
        <v>128</v>
      </c>
      <c r="O152" s="24">
        <f t="shared" si="68"/>
        <v>115.1</v>
      </c>
      <c r="P152" s="25">
        <f t="shared" si="62"/>
        <v>8.6880973066898355E-3</v>
      </c>
    </row>
    <row r="153" spans="2:16" ht="15.75" thickBot="1" x14ac:dyDescent="0.3">
      <c r="B153" s="8"/>
      <c r="C153" s="6"/>
      <c r="D153" s="6"/>
      <c r="E153" s="6"/>
      <c r="F153" s="1">
        <f t="shared" si="63"/>
        <v>256</v>
      </c>
      <c r="G153" s="24">
        <f t="shared" si="64"/>
        <v>117.3</v>
      </c>
      <c r="H153" s="25">
        <f t="shared" si="60"/>
        <v>8.5251491901108273E-3</v>
      </c>
      <c r="I153" s="6"/>
      <c r="J153" s="1">
        <f t="shared" si="65"/>
        <v>256</v>
      </c>
      <c r="K153" s="24">
        <f t="shared" si="66"/>
        <v>115.48000000000002</v>
      </c>
      <c r="L153" s="25">
        <f t="shared" si="61"/>
        <v>8.6595081399376498E-3</v>
      </c>
      <c r="M153" s="6"/>
      <c r="N153" s="1">
        <f t="shared" si="67"/>
        <v>256</v>
      </c>
      <c r="O153" s="24">
        <f t="shared" si="68"/>
        <v>115.62</v>
      </c>
      <c r="P153" s="25">
        <f t="shared" si="62"/>
        <v>8.6490226604393709E-3</v>
      </c>
    </row>
    <row r="154" spans="2:16" ht="15.75" thickBot="1" x14ac:dyDescent="0.3">
      <c r="B154" s="28" t="s">
        <v>9</v>
      </c>
      <c r="C154" s="29"/>
      <c r="D154" s="22" t="s">
        <v>10</v>
      </c>
      <c r="E154" s="6"/>
      <c r="F154" s="1">
        <f t="shared" si="63"/>
        <v>512</v>
      </c>
      <c r="G154" s="24">
        <f t="shared" si="64"/>
        <v>104.63999999999999</v>
      </c>
      <c r="H154" s="25">
        <f t="shared" si="60"/>
        <v>9.5565749235474017E-3</v>
      </c>
      <c r="I154" s="6"/>
      <c r="J154" s="1">
        <f t="shared" si="65"/>
        <v>512</v>
      </c>
      <c r="K154" s="24">
        <f t="shared" si="66"/>
        <v>116.02000000000001</v>
      </c>
      <c r="L154" s="25">
        <f t="shared" si="61"/>
        <v>8.619203585588691E-3</v>
      </c>
      <c r="M154" s="6"/>
      <c r="N154" s="1">
        <f t="shared" si="67"/>
        <v>512</v>
      </c>
      <c r="O154" s="24">
        <f t="shared" si="68"/>
        <v>114.17999999999999</v>
      </c>
      <c r="P154" s="25">
        <f t="shared" si="62"/>
        <v>8.7581012436503767E-3</v>
      </c>
    </row>
    <row r="155" spans="2:16" ht="15.75" thickBot="1" x14ac:dyDescent="0.3">
      <c r="B155" s="4" t="s">
        <v>3</v>
      </c>
      <c r="C155" s="4" t="s">
        <v>1</v>
      </c>
      <c r="D155" s="4" t="s">
        <v>17</v>
      </c>
      <c r="E155" s="6"/>
      <c r="F155" s="1">
        <f t="shared" si="63"/>
        <v>1024</v>
      </c>
      <c r="G155" s="24">
        <f t="shared" si="64"/>
        <v>112.16000000000001</v>
      </c>
      <c r="H155" s="25">
        <f t="shared" si="60"/>
        <v>8.9158345221112684E-3</v>
      </c>
      <c r="I155" s="6"/>
      <c r="J155" s="1">
        <f t="shared" si="65"/>
        <v>1024</v>
      </c>
      <c r="K155" s="24">
        <f t="shared" si="66"/>
        <v>109.66</v>
      </c>
      <c r="L155" s="25">
        <f t="shared" si="61"/>
        <v>9.1190953857377358E-3</v>
      </c>
      <c r="M155" s="6"/>
      <c r="N155" s="1">
        <f t="shared" si="67"/>
        <v>1024</v>
      </c>
      <c r="O155" s="24">
        <f t="shared" si="68"/>
        <v>114.52000000000001</v>
      </c>
      <c r="P155" s="25">
        <f t="shared" si="62"/>
        <v>8.7320991966468725E-3</v>
      </c>
    </row>
    <row r="156" spans="2:16" ht="15.75" thickBot="1" x14ac:dyDescent="0.3">
      <c r="B156" s="15" t="s">
        <v>11</v>
      </c>
      <c r="C156" s="16">
        <f>AVERAGE(C11,C40,C69,C98,C127)</f>
        <v>34.120000000000005</v>
      </c>
      <c r="D156" s="27">
        <f>1/C156</f>
        <v>2.9308323563892142E-2</v>
      </c>
      <c r="E156" s="6"/>
      <c r="F156" s="1">
        <f t="shared" si="63"/>
        <v>2048</v>
      </c>
      <c r="G156" s="24">
        <f t="shared" si="64"/>
        <v>85.28</v>
      </c>
      <c r="H156" s="25">
        <f t="shared" si="60"/>
        <v>1.172607879924953E-2</v>
      </c>
      <c r="I156" s="6"/>
      <c r="J156" s="1">
        <f t="shared" si="65"/>
        <v>2048</v>
      </c>
      <c r="K156" s="24">
        <f t="shared" si="66"/>
        <v>95</v>
      </c>
      <c r="L156" s="25">
        <f t="shared" si="61"/>
        <v>1.0526315789473684E-2</v>
      </c>
      <c r="M156" s="6"/>
      <c r="N156" s="1">
        <f t="shared" si="67"/>
        <v>2048</v>
      </c>
      <c r="O156" s="24">
        <f t="shared" si="68"/>
        <v>113.92</v>
      </c>
      <c r="P156" s="25">
        <f t="shared" si="62"/>
        <v>8.7780898876404501E-3</v>
      </c>
    </row>
    <row r="157" spans="2:16" x14ac:dyDescent="0.25">
      <c r="B157" s="8"/>
      <c r="C157" s="6"/>
      <c r="D157" s="6"/>
      <c r="E157" s="6"/>
      <c r="F157" s="1">
        <f t="shared" si="63"/>
        <v>4096</v>
      </c>
      <c r="G157" s="24">
        <f t="shared" si="64"/>
        <v>51.059999999999995</v>
      </c>
      <c r="H157" s="25">
        <f t="shared" si="60"/>
        <v>1.9584802193497848E-2</v>
      </c>
      <c r="I157" s="6"/>
      <c r="J157" s="1">
        <f t="shared" si="65"/>
        <v>4096</v>
      </c>
      <c r="K157" s="24">
        <f t="shared" si="66"/>
        <v>62.220000000000006</v>
      </c>
      <c r="L157" s="25">
        <f t="shared" si="61"/>
        <v>1.6072002571520409E-2</v>
      </c>
      <c r="M157" s="6"/>
      <c r="N157" s="1">
        <f t="shared" si="67"/>
        <v>4096</v>
      </c>
      <c r="O157" s="24">
        <f t="shared" si="68"/>
        <v>115.66000000000001</v>
      </c>
      <c r="P157" s="25">
        <f t="shared" si="62"/>
        <v>8.646031471554556E-3</v>
      </c>
    </row>
    <row r="158" spans="2:16" x14ac:dyDescent="0.25">
      <c r="B158" s="8"/>
      <c r="C158" s="6"/>
      <c r="D158" s="6"/>
      <c r="E158" s="6"/>
      <c r="F158" s="1">
        <f t="shared" si="63"/>
        <v>8192</v>
      </c>
      <c r="G158" s="24">
        <f t="shared" si="64"/>
        <v>28.32</v>
      </c>
      <c r="H158" s="25">
        <f t="shared" si="60"/>
        <v>3.5310734463276837E-2</v>
      </c>
      <c r="I158" s="6"/>
      <c r="J158" s="1">
        <f t="shared" si="65"/>
        <v>8192</v>
      </c>
      <c r="K158" s="24">
        <f t="shared" si="66"/>
        <v>36.5</v>
      </c>
      <c r="L158" s="25">
        <f t="shared" si="61"/>
        <v>2.7397260273972601E-2</v>
      </c>
      <c r="M158" s="6"/>
      <c r="N158" s="1">
        <f t="shared" si="67"/>
        <v>8192</v>
      </c>
      <c r="O158" s="24">
        <f t="shared" si="68"/>
        <v>115.88</v>
      </c>
      <c r="P158" s="25">
        <f t="shared" si="62"/>
        <v>8.6296168450120826E-3</v>
      </c>
    </row>
    <row r="159" spans="2:16" ht="15.75" thickBot="1" x14ac:dyDescent="0.3">
      <c r="B159" s="8"/>
      <c r="C159" s="6"/>
      <c r="D159" s="6"/>
      <c r="E159" s="6"/>
      <c r="F159" s="2">
        <f t="shared" si="63"/>
        <v>16384</v>
      </c>
      <c r="G159" s="24">
        <f t="shared" si="64"/>
        <v>14.580000000000002</v>
      </c>
      <c r="H159" s="25">
        <f t="shared" si="60"/>
        <v>6.858710562414265E-2</v>
      </c>
      <c r="I159" s="6"/>
      <c r="J159" s="2">
        <f t="shared" si="65"/>
        <v>16384</v>
      </c>
      <c r="K159" s="24">
        <f t="shared" si="66"/>
        <v>19.34</v>
      </c>
      <c r="L159" s="25">
        <f t="shared" si="61"/>
        <v>5.170630816959669E-2</v>
      </c>
      <c r="M159" s="6"/>
      <c r="N159" s="2">
        <f t="shared" si="67"/>
        <v>16384</v>
      </c>
      <c r="O159" s="24">
        <f t="shared" si="68"/>
        <v>116</v>
      </c>
      <c r="P159" s="25">
        <f t="shared" si="62"/>
        <v>8.6206896551724137E-3</v>
      </c>
    </row>
    <row r="160" spans="2:16" ht="15.75" thickBot="1" x14ac:dyDescent="0.3">
      <c r="B160" s="8"/>
      <c r="C160" s="6"/>
      <c r="D160" s="6"/>
      <c r="E160" s="6"/>
      <c r="F160" s="3" t="s">
        <v>0</v>
      </c>
      <c r="G160" s="4">
        <f>AVERAGE(G150:G159)</f>
        <v>84.447999999999993</v>
      </c>
      <c r="H160" s="26">
        <f>AVERAGE(H150:H159)</f>
        <v>1.8939376924427265E-2</v>
      </c>
      <c r="I160" s="6"/>
      <c r="J160" s="3" t="s">
        <v>0</v>
      </c>
      <c r="K160" s="4">
        <f>AVERAGE(K150:K159)</f>
        <v>89.640000000000015</v>
      </c>
      <c r="L160" s="26">
        <f>AVERAGE(L150:L159)</f>
        <v>1.5843909186068778E-2</v>
      </c>
      <c r="M160" s="6"/>
      <c r="N160" s="3" t="s">
        <v>0</v>
      </c>
      <c r="O160" s="4">
        <f>AVERAGE(O150:O159)</f>
        <v>114.31799999999998</v>
      </c>
      <c r="P160" s="26">
        <f>AVERAGE(P150:P159)</f>
        <v>8.7510098308561345E-3</v>
      </c>
    </row>
    <row r="161" spans="2:16" ht="15.75" thickBot="1" x14ac:dyDescent="0.3">
      <c r="B161" s="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/>
    </row>
    <row r="162" spans="2:16" ht="15.75" thickBot="1" x14ac:dyDescent="0.3">
      <c r="B162" s="8"/>
      <c r="C162" s="6"/>
      <c r="D162" s="6"/>
      <c r="E162" s="18"/>
      <c r="F162" s="28" t="s">
        <v>7</v>
      </c>
      <c r="G162" s="29"/>
      <c r="H162" s="22" t="s">
        <v>10</v>
      </c>
      <c r="I162" s="6"/>
      <c r="J162" s="28" t="s">
        <v>8</v>
      </c>
      <c r="K162" s="29"/>
      <c r="L162" s="22" t="s">
        <v>10</v>
      </c>
      <c r="M162" s="6"/>
      <c r="N162" s="28" t="s">
        <v>2</v>
      </c>
      <c r="O162" s="29"/>
      <c r="P162" s="22" t="s">
        <v>10</v>
      </c>
    </row>
    <row r="163" spans="2:16" ht="15.75" thickBot="1" x14ac:dyDescent="0.3">
      <c r="B163" s="8"/>
      <c r="C163" s="6"/>
      <c r="D163" s="6"/>
      <c r="E163" s="18"/>
      <c r="F163" s="4" t="s">
        <v>3</v>
      </c>
      <c r="G163" s="4" t="s">
        <v>1</v>
      </c>
      <c r="H163" s="4" t="s">
        <v>17</v>
      </c>
      <c r="I163" s="6"/>
      <c r="J163" s="4" t="s">
        <v>3</v>
      </c>
      <c r="K163" s="4" t="s">
        <v>1</v>
      </c>
      <c r="L163" s="4" t="s">
        <v>17</v>
      </c>
      <c r="M163" s="6"/>
      <c r="N163" s="4" t="s">
        <v>3</v>
      </c>
      <c r="O163" s="4" t="s">
        <v>1</v>
      </c>
      <c r="P163" s="4" t="s">
        <v>17</v>
      </c>
    </row>
    <row r="164" spans="2:16" x14ac:dyDescent="0.25">
      <c r="B164" s="8"/>
      <c r="C164" s="6"/>
      <c r="D164" s="6"/>
      <c r="E164" s="18"/>
      <c r="F164" s="1">
        <f>16*2</f>
        <v>32</v>
      </c>
      <c r="G164" s="24">
        <f>AVERAGE(G19,G48,G77,G106,G135)</f>
        <v>35.660000000000004</v>
      </c>
      <c r="H164" s="25">
        <f t="shared" ref="H164:H173" si="69">1/G164</f>
        <v>2.8042624789680313E-2</v>
      </c>
      <c r="I164" s="6"/>
      <c r="J164" s="1">
        <f>16*2</f>
        <v>32</v>
      </c>
      <c r="K164" s="24">
        <f>AVERAGE(K19,K48,K77,K106,K135)</f>
        <v>36.1</v>
      </c>
      <c r="L164" s="25">
        <f t="shared" ref="L164:L173" si="70">1/K164</f>
        <v>2.7700831024930747E-2</v>
      </c>
      <c r="M164" s="6"/>
      <c r="N164" s="1">
        <f>16*2</f>
        <v>32</v>
      </c>
      <c r="O164" s="24">
        <f>AVERAGE(O19,O48,O77,O106,O135)</f>
        <v>35.480000000000004</v>
      </c>
      <c r="P164" s="25">
        <f t="shared" ref="P164:P173" si="71">1/O164</f>
        <v>2.8184892897406985E-2</v>
      </c>
    </row>
    <row r="165" spans="2:16" x14ac:dyDescent="0.25">
      <c r="B165" s="8"/>
      <c r="C165" s="6"/>
      <c r="D165" s="6"/>
      <c r="E165" s="6"/>
      <c r="F165" s="1">
        <f t="shared" ref="F165:F173" si="72">F164*2</f>
        <v>64</v>
      </c>
      <c r="G165" s="24">
        <f t="shared" ref="G165:G173" si="73">AVERAGE(G20,G49,G78,G107,G136)</f>
        <v>34.680000000000007</v>
      </c>
      <c r="H165" s="25">
        <f t="shared" si="69"/>
        <v>2.8835063437139555E-2</v>
      </c>
      <c r="I165" s="6"/>
      <c r="J165" s="1">
        <f t="shared" ref="J165:J173" si="74">J164*2</f>
        <v>64</v>
      </c>
      <c r="K165" s="24">
        <f t="shared" ref="K165:K173" si="75">AVERAGE(K20,K49,K78,K107,K136)</f>
        <v>33.220000000000006</v>
      </c>
      <c r="L165" s="25">
        <f t="shared" si="70"/>
        <v>3.010234798314268E-2</v>
      </c>
      <c r="M165" s="6"/>
      <c r="N165" s="1">
        <f t="shared" ref="N165:N173" si="76">N164*2</f>
        <v>64</v>
      </c>
      <c r="O165" s="24">
        <f t="shared" ref="O165:O173" si="77">AVERAGE(O20,O49,O78,O107,O136)</f>
        <v>35.14</v>
      </c>
      <c r="P165" s="25">
        <f t="shared" si="71"/>
        <v>2.8457598178713715E-2</v>
      </c>
    </row>
    <row r="166" spans="2:16" x14ac:dyDescent="0.25">
      <c r="B166" s="8"/>
      <c r="C166" s="6"/>
      <c r="D166" s="6"/>
      <c r="E166" s="6"/>
      <c r="F166" s="1">
        <f t="shared" si="72"/>
        <v>128</v>
      </c>
      <c r="G166" s="24">
        <f t="shared" si="73"/>
        <v>35.160000000000004</v>
      </c>
      <c r="H166" s="25">
        <f t="shared" si="69"/>
        <v>2.844141069397042E-2</v>
      </c>
      <c r="I166" s="6"/>
      <c r="J166" s="1">
        <f t="shared" si="74"/>
        <v>128</v>
      </c>
      <c r="K166" s="24">
        <f t="shared" si="75"/>
        <v>34.120000000000005</v>
      </c>
      <c r="L166" s="25">
        <f t="shared" si="70"/>
        <v>2.9308323563892142E-2</v>
      </c>
      <c r="M166" s="6"/>
      <c r="N166" s="1">
        <f t="shared" si="76"/>
        <v>128</v>
      </c>
      <c r="O166" s="24">
        <f t="shared" si="77"/>
        <v>34.44</v>
      </c>
      <c r="P166" s="25">
        <f t="shared" si="71"/>
        <v>2.9036004645760744E-2</v>
      </c>
    </row>
    <row r="167" spans="2:16" x14ac:dyDescent="0.25">
      <c r="B167" s="8"/>
      <c r="C167" s="6"/>
      <c r="D167" s="6"/>
      <c r="E167" s="6"/>
      <c r="F167" s="1">
        <f t="shared" si="72"/>
        <v>256</v>
      </c>
      <c r="G167" s="24">
        <f t="shared" si="73"/>
        <v>34.659999999999997</v>
      </c>
      <c r="H167" s="25">
        <f t="shared" si="69"/>
        <v>2.8851702250432779E-2</v>
      </c>
      <c r="I167" s="6"/>
      <c r="J167" s="1">
        <f t="shared" si="74"/>
        <v>256</v>
      </c>
      <c r="K167" s="24">
        <f t="shared" si="75"/>
        <v>34.22</v>
      </c>
      <c r="L167" s="25">
        <f t="shared" si="70"/>
        <v>2.9222676797194622E-2</v>
      </c>
      <c r="M167" s="6"/>
      <c r="N167" s="1">
        <f t="shared" si="76"/>
        <v>256</v>
      </c>
      <c r="O167" s="24">
        <f t="shared" si="77"/>
        <v>35.700000000000003</v>
      </c>
      <c r="P167" s="25">
        <f t="shared" si="71"/>
        <v>2.8011204481792715E-2</v>
      </c>
    </row>
    <row r="168" spans="2:16" x14ac:dyDescent="0.25">
      <c r="B168" s="8"/>
      <c r="C168" s="6"/>
      <c r="D168" s="6"/>
      <c r="E168" s="6"/>
      <c r="F168" s="1">
        <f t="shared" si="72"/>
        <v>512</v>
      </c>
      <c r="G168" s="24">
        <f t="shared" si="73"/>
        <v>33.14</v>
      </c>
      <c r="H168" s="25">
        <f t="shared" si="69"/>
        <v>3.0175015087507542E-2</v>
      </c>
      <c r="I168" s="6"/>
      <c r="J168" s="1">
        <f t="shared" si="74"/>
        <v>512</v>
      </c>
      <c r="K168" s="24">
        <f t="shared" si="75"/>
        <v>32.86</v>
      </c>
      <c r="L168" s="25">
        <f t="shared" si="70"/>
        <v>3.0432136335970784E-2</v>
      </c>
      <c r="M168" s="6"/>
      <c r="N168" s="1">
        <f t="shared" si="76"/>
        <v>512</v>
      </c>
      <c r="O168" s="24">
        <f t="shared" si="77"/>
        <v>34.5</v>
      </c>
      <c r="P168" s="25">
        <f t="shared" si="71"/>
        <v>2.8985507246376812E-2</v>
      </c>
    </row>
    <row r="169" spans="2:16" x14ac:dyDescent="0.25">
      <c r="B169" s="8"/>
      <c r="C169" s="6"/>
      <c r="D169" s="6"/>
      <c r="E169" s="6"/>
      <c r="F169" s="1">
        <f t="shared" si="72"/>
        <v>1024</v>
      </c>
      <c r="G169" s="24">
        <f t="shared" si="73"/>
        <v>31.159999999999997</v>
      </c>
      <c r="H169" s="25">
        <f t="shared" si="69"/>
        <v>3.2092426187419774E-2</v>
      </c>
      <c r="I169" s="6"/>
      <c r="J169" s="1">
        <f t="shared" si="74"/>
        <v>1024</v>
      </c>
      <c r="K169" s="24">
        <f t="shared" si="75"/>
        <v>31.620000000000005</v>
      </c>
      <c r="L169" s="25">
        <f t="shared" si="70"/>
        <v>3.1625553447185324E-2</v>
      </c>
      <c r="M169" s="6"/>
      <c r="N169" s="1">
        <f t="shared" si="76"/>
        <v>1024</v>
      </c>
      <c r="O169" s="24">
        <f t="shared" si="77"/>
        <v>35.08</v>
      </c>
      <c r="P169" s="25">
        <f t="shared" si="71"/>
        <v>2.8506271379703536E-2</v>
      </c>
    </row>
    <row r="170" spans="2:16" x14ac:dyDescent="0.25">
      <c r="B170" s="8"/>
      <c r="C170" s="6"/>
      <c r="D170" s="6"/>
      <c r="E170" s="6"/>
      <c r="F170" s="1">
        <f t="shared" si="72"/>
        <v>2048</v>
      </c>
      <c r="G170" s="24">
        <f t="shared" si="73"/>
        <v>28</v>
      </c>
      <c r="H170" s="25">
        <f t="shared" si="69"/>
        <v>3.5714285714285712E-2</v>
      </c>
      <c r="I170" s="6"/>
      <c r="J170" s="1">
        <f t="shared" si="74"/>
        <v>2048</v>
      </c>
      <c r="K170" s="24">
        <f t="shared" si="75"/>
        <v>27.52</v>
      </c>
      <c r="L170" s="25">
        <f t="shared" si="70"/>
        <v>3.6337209302325583E-2</v>
      </c>
      <c r="M170" s="6"/>
      <c r="N170" s="1">
        <f t="shared" si="76"/>
        <v>2048</v>
      </c>
      <c r="O170" s="24">
        <f t="shared" si="77"/>
        <v>34.22</v>
      </c>
      <c r="P170" s="25">
        <f t="shared" si="71"/>
        <v>2.9222676797194622E-2</v>
      </c>
    </row>
    <row r="171" spans="2:16" x14ac:dyDescent="0.25">
      <c r="B171" s="8"/>
      <c r="C171" s="6"/>
      <c r="D171" s="6"/>
      <c r="E171" s="6"/>
      <c r="F171" s="1">
        <f t="shared" si="72"/>
        <v>4096</v>
      </c>
      <c r="G171" s="24">
        <f t="shared" si="73"/>
        <v>23.300000000000004</v>
      </c>
      <c r="H171" s="25">
        <f t="shared" si="69"/>
        <v>4.2918454935622311E-2</v>
      </c>
      <c r="I171" s="6"/>
      <c r="J171" s="1">
        <f t="shared" si="74"/>
        <v>4096</v>
      </c>
      <c r="K171" s="24">
        <f t="shared" si="75"/>
        <v>24.36</v>
      </c>
      <c r="L171" s="25">
        <f t="shared" si="70"/>
        <v>4.1050903119868636E-2</v>
      </c>
      <c r="M171" s="6"/>
      <c r="N171" s="1">
        <f t="shared" si="76"/>
        <v>4096</v>
      </c>
      <c r="O171" s="24">
        <f t="shared" si="77"/>
        <v>35.28</v>
      </c>
      <c r="P171" s="25">
        <f t="shared" si="71"/>
        <v>2.8344671201814057E-2</v>
      </c>
    </row>
    <row r="172" spans="2:16" x14ac:dyDescent="0.25">
      <c r="B172" s="8"/>
      <c r="C172" s="6"/>
      <c r="D172" s="6"/>
      <c r="E172" s="6"/>
      <c r="F172" s="1">
        <f t="shared" si="72"/>
        <v>8192</v>
      </c>
      <c r="G172" s="24">
        <f t="shared" si="73"/>
        <v>16.740000000000002</v>
      </c>
      <c r="H172" s="25">
        <f t="shared" si="69"/>
        <v>5.9737156511350052E-2</v>
      </c>
      <c r="I172" s="6"/>
      <c r="J172" s="1">
        <f t="shared" si="74"/>
        <v>8192</v>
      </c>
      <c r="K172" s="24">
        <f t="shared" si="75"/>
        <v>18.38</v>
      </c>
      <c r="L172" s="25">
        <f t="shared" si="70"/>
        <v>5.4406964091403699E-2</v>
      </c>
      <c r="M172" s="6"/>
      <c r="N172" s="1">
        <f t="shared" si="76"/>
        <v>8192</v>
      </c>
      <c r="O172" s="24">
        <f t="shared" si="77"/>
        <v>35.840000000000003</v>
      </c>
      <c r="P172" s="25">
        <f t="shared" si="71"/>
        <v>2.7901785714285712E-2</v>
      </c>
    </row>
    <row r="173" spans="2:16" ht="15.75" thickBot="1" x14ac:dyDescent="0.3">
      <c r="B173" s="8"/>
      <c r="C173" s="6"/>
      <c r="D173" s="6"/>
      <c r="E173" s="6"/>
      <c r="F173" s="2">
        <f t="shared" si="72"/>
        <v>16384</v>
      </c>
      <c r="G173" s="24">
        <f t="shared" si="73"/>
        <v>10.84</v>
      </c>
      <c r="H173" s="25">
        <f t="shared" si="69"/>
        <v>9.2250922509225092E-2</v>
      </c>
      <c r="I173" s="6"/>
      <c r="J173" s="2">
        <f t="shared" si="74"/>
        <v>16384</v>
      </c>
      <c r="K173" s="24">
        <f t="shared" si="75"/>
        <v>12.600000000000001</v>
      </c>
      <c r="L173" s="25">
        <f t="shared" si="70"/>
        <v>7.9365079365079361E-2</v>
      </c>
      <c r="M173" s="6"/>
      <c r="N173" s="2">
        <f t="shared" si="76"/>
        <v>16384</v>
      </c>
      <c r="O173" s="24">
        <f t="shared" si="77"/>
        <v>35.26</v>
      </c>
      <c r="P173" s="25">
        <f t="shared" si="71"/>
        <v>2.8360748723766309E-2</v>
      </c>
    </row>
    <row r="174" spans="2:16" ht="15.75" thickBot="1" x14ac:dyDescent="0.3">
      <c r="B174" s="17"/>
      <c r="C174" s="10"/>
      <c r="D174" s="10"/>
      <c r="E174" s="10"/>
      <c r="F174" s="3" t="s">
        <v>0</v>
      </c>
      <c r="G174" s="4">
        <f>AVERAGE(G164:G173)</f>
        <v>28.333999999999996</v>
      </c>
      <c r="H174" s="26">
        <f>AVERAGE(H164:H173)</f>
        <v>4.0705906211663354E-2</v>
      </c>
      <c r="I174" s="10"/>
      <c r="J174" s="3" t="s">
        <v>0</v>
      </c>
      <c r="K174" s="4">
        <f>AVERAGE(K164:K173)</f>
        <v>28.500000000000007</v>
      </c>
      <c r="L174" s="26">
        <f>AVERAGE(L164:L173)</f>
        <v>3.8955202503099355E-2</v>
      </c>
      <c r="M174" s="10"/>
      <c r="N174" s="3" t="s">
        <v>0</v>
      </c>
      <c r="O174" s="4">
        <f>AVERAGE(O164:O173)</f>
        <v>35.093999999999994</v>
      </c>
      <c r="P174" s="26">
        <f>AVERAGE(P164:P173)</f>
        <v>2.8501136126681519E-2</v>
      </c>
    </row>
  </sheetData>
  <mergeCells count="68">
    <mergeCell ref="B132:D132"/>
    <mergeCell ref="B139:D139"/>
    <mergeCell ref="B23:D23"/>
    <mergeCell ref="B52:D52"/>
    <mergeCell ref="B81:D81"/>
    <mergeCell ref="B103:D103"/>
    <mergeCell ref="B110:D110"/>
    <mergeCell ref="B16:D16"/>
    <mergeCell ref="B45:D45"/>
    <mergeCell ref="B74:D74"/>
    <mergeCell ref="N61:O61"/>
    <mergeCell ref="E60:I60"/>
    <mergeCell ref="E89:I89"/>
    <mergeCell ref="E118:I118"/>
    <mergeCell ref="E31:K31"/>
    <mergeCell ref="N90:O90"/>
    <mergeCell ref="N104:O104"/>
    <mergeCell ref="B118:D118"/>
    <mergeCell ref="F119:G119"/>
    <mergeCell ref="J119:K119"/>
    <mergeCell ref="B121:C121"/>
    <mergeCell ref="B125:C125"/>
    <mergeCell ref="J90:K90"/>
    <mergeCell ref="B92:C92"/>
    <mergeCell ref="B96:C96"/>
    <mergeCell ref="F104:G104"/>
    <mergeCell ref="J104:K104"/>
    <mergeCell ref="B2:D2"/>
    <mergeCell ref="B31:D31"/>
    <mergeCell ref="N32:O32"/>
    <mergeCell ref="J32:K32"/>
    <mergeCell ref="F32:G32"/>
    <mergeCell ref="B9:C9"/>
    <mergeCell ref="B5:C5"/>
    <mergeCell ref="F17:G17"/>
    <mergeCell ref="N17:O17"/>
    <mergeCell ref="J17:K17"/>
    <mergeCell ref="E2:I2"/>
    <mergeCell ref="F3:G3"/>
    <mergeCell ref="J3:K3"/>
    <mergeCell ref="N119:O119"/>
    <mergeCell ref="B34:C34"/>
    <mergeCell ref="B38:C38"/>
    <mergeCell ref="F46:G46"/>
    <mergeCell ref="J46:K46"/>
    <mergeCell ref="N46:O46"/>
    <mergeCell ref="B63:C63"/>
    <mergeCell ref="B67:C67"/>
    <mergeCell ref="F75:G75"/>
    <mergeCell ref="J75:K75"/>
    <mergeCell ref="N75:O75"/>
    <mergeCell ref="B89:D89"/>
    <mergeCell ref="F90:G90"/>
    <mergeCell ref="B60:D60"/>
    <mergeCell ref="F61:G61"/>
    <mergeCell ref="J61:K61"/>
    <mergeCell ref="B154:C154"/>
    <mergeCell ref="F162:G162"/>
    <mergeCell ref="J162:K162"/>
    <mergeCell ref="N162:O162"/>
    <mergeCell ref="F133:G133"/>
    <mergeCell ref="J133:K133"/>
    <mergeCell ref="N133:O133"/>
    <mergeCell ref="N148:O148"/>
    <mergeCell ref="B150:C150"/>
    <mergeCell ref="B147:D147"/>
    <mergeCell ref="F148:G148"/>
    <mergeCell ref="J148:K148"/>
  </mergeCells>
  <hyperlinks>
    <hyperlink ref="Z39" r:id="rId1" location="app_reviews_hash" display="https://store.steampowered.com/app/3321460/Crimson_Desert/ - app_reviews_hash" xr:uid="{27E77D10-A2A5-42FC-B785-5D91212FC143}"/>
    <hyperlink ref="Z40" r:id="rId2" location="app_reviews_hash" display="https://store.steampowered.com/app/3321460/Crimson_Desert/ - app_reviews_hash" xr:uid="{08DD8FEF-276B-4306-8439-C75D59950E8F}"/>
  </hyperlinks>
  <pageMargins left="0.7" right="0.7" top="0.75" bottom="0.75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af2c7-e3e1-4fa5-b097-34653523ae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A636AC736AAD294390C433E481F8168A" ma:contentTypeVersion="13" ma:contentTypeDescription="Luo uusi asiakirja." ma:contentTypeScope="" ma:versionID="af90cf2a9e1fe19fb2e0f2f74b9774dc">
  <xsd:schema xmlns:xsd="http://www.w3.org/2001/XMLSchema" xmlns:xs="http://www.w3.org/2001/XMLSchema" xmlns:p="http://schemas.microsoft.com/office/2006/metadata/properties" xmlns:ns3="0dfaf2c7-e3e1-4fa5-b097-34653523aeb9" xmlns:ns4="130cba72-c502-412f-b945-69e52d4da043" targetNamespace="http://schemas.microsoft.com/office/2006/metadata/properties" ma:root="true" ma:fieldsID="55f747f34f60d0ac4716d16b60c03d3c" ns3:_="" ns4:_="">
    <xsd:import namespace="0dfaf2c7-e3e1-4fa5-b097-34653523aeb9"/>
    <xsd:import namespace="130cba72-c502-412f-b945-69e52d4da0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f2c7-e3e1-4fa5-b097-34653523ae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cba72-c502-412f-b945-69e52d4da0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Jakamisvihjeen hajautus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E61A59-AE1F-4AC9-A551-66EA8696F2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61A644-7A89-484D-B3E2-2DB651B1B62F}">
  <ds:schemaRefs>
    <ds:schemaRef ds:uri="http://purl.org/dc/dcmitype/"/>
    <ds:schemaRef ds:uri="http://schemas.microsoft.com/office/2006/documentManagement/types"/>
    <ds:schemaRef ds:uri="0dfaf2c7-e3e1-4fa5-b097-34653523aeb9"/>
    <ds:schemaRef ds:uri="http://purl.org/dc/terms/"/>
    <ds:schemaRef ds:uri="130cba72-c502-412f-b945-69e52d4da04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E84CA32-E571-4483-AF6B-88C29A1A9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af2c7-e3e1-4fa5-b097-34653523aeb9"/>
    <ds:schemaRef ds:uri="130cba72-c502-412f-b945-69e52d4da0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Taul1</vt:lpstr>
      <vt:lpstr>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rotta</dc:creator>
  <cp:lastModifiedBy>Ahonen Aleksi</cp:lastModifiedBy>
  <cp:lastPrinted>2026-03-20T14:44:26Z</cp:lastPrinted>
  <dcterms:created xsi:type="dcterms:W3CDTF">2015-06-05T18:19:34Z</dcterms:created>
  <dcterms:modified xsi:type="dcterms:W3CDTF">2026-03-23T14:05:45Z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0x010100A636AC736AAD294390C433E481F8168A</vt:lpwstr>
  </property>
</Properties>
</file>